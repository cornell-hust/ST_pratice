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1" autoFilterDateGrouping="1"/>
  </bookViews>
  <sheets>
    <sheet name="Information文档信息" sheetId="1" state="visible" r:id="rId1"/>
    <sheet name="Test Cases测试用例" sheetId="2" state="visible" r:id="rId2"/>
    <sheet name="Introduction使用说明" sheetId="3" state="visible" r:id="rId3"/>
  </sheets>
  <definedNames>
    <definedName name="Result">'Test Cases测试用例'!$N$2:$N$5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31">
    <font>
      <name val="Arial"/>
      <charset val="134"/>
      <sz val="12"/>
    </font>
    <font>
      <name val="宋体"/>
      <charset val="134"/>
      <sz val="12"/>
    </font>
    <font>
      <name val="Times New Roman"/>
      <charset val="134"/>
      <b val="1"/>
      <sz val="12"/>
    </font>
    <font>
      <name val="Times New Roman"/>
      <charset val="134"/>
      <sz val="11"/>
    </font>
    <font>
      <name val="Times New Roman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Times New Roman"/>
      <charset val="134"/>
      <b val="1"/>
      <sz val="18"/>
    </font>
    <font>
      <name val="宋体"/>
      <charset val="134"/>
      <i val="1"/>
      <color indexed="10"/>
      <sz val="11"/>
    </font>
    <font>
      <name val="Times New Roman"/>
      <charset val="134"/>
      <i val="1"/>
      <color indexed="10"/>
      <sz val="11"/>
    </font>
    <font>
      <name val="Times New Roman"/>
      <charset val="134"/>
      <color indexed="9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1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7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19" fillId="0" borderId="0" applyAlignment="1">
      <alignment vertical="center"/>
    </xf>
    <xf numFmtId="0" fontId="20" fillId="8" borderId="19" applyAlignment="1">
      <alignment vertical="center"/>
    </xf>
    <xf numFmtId="0" fontId="21" fillId="9" borderId="20" applyAlignment="1">
      <alignment vertical="center"/>
    </xf>
    <xf numFmtId="0" fontId="22" fillId="9" borderId="19" applyAlignment="1">
      <alignment vertical="center"/>
    </xf>
    <xf numFmtId="0" fontId="23" fillId="10" borderId="21" applyAlignment="1">
      <alignment vertical="center"/>
    </xf>
    <xf numFmtId="0" fontId="24" fillId="0" borderId="22" applyAlignment="1">
      <alignment vertical="center"/>
    </xf>
    <xf numFmtId="0" fontId="25" fillId="0" borderId="23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Continuous"/>
    </xf>
    <xf numFmtId="0" fontId="0" fillId="0" borderId="2" pivotButton="0" quotePrefix="0" xfId="0"/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  <xf numFmtId="0" fontId="3" fillId="3" borderId="3" applyAlignment="1" pivotButton="0" quotePrefix="0" xfId="0">
      <alignment horizontal="center" wrapText="1"/>
    </xf>
    <xf numFmtId="0" fontId="3" fillId="3" borderId="4" applyAlignment="1" pivotButton="0" quotePrefix="0" xfId="0">
      <alignment wrapText="1"/>
    </xf>
    <xf numFmtId="0" fontId="4" fillId="3" borderId="5" pivotButton="0" quotePrefix="0" xfId="0"/>
    <xf numFmtId="0" fontId="4" fillId="0" borderId="0" pivotButton="0" quotePrefix="0" xfId="0"/>
    <xf numFmtId="0" fontId="2" fillId="4" borderId="5" applyAlignment="1" pivotButton="0" quotePrefix="0" xfId="0">
      <alignment horizontal="center" wrapText="1"/>
    </xf>
    <xf numFmtId="0" fontId="5" fillId="4" borderId="5" applyAlignment="1" pivotButton="0" quotePrefix="0" xfId="0">
      <alignment horizontal="center" wrapText="1"/>
    </xf>
    <xf numFmtId="0" fontId="3" fillId="3" borderId="5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7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4" fillId="2" borderId="1" applyAlignment="1" pivotButton="0" quotePrefix="0" xfId="0">
      <alignment horizontal="centerContinuous"/>
    </xf>
    <xf numFmtId="0" fontId="4" fillId="0" borderId="2" pivotButton="0" quotePrefix="0" xfId="0"/>
    <xf numFmtId="0" fontId="4" fillId="3" borderId="1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4" fillId="0" borderId="6" pivotButton="0" quotePrefix="0" xfId="0"/>
    <xf numFmtId="0" fontId="4" fillId="5" borderId="1" applyAlignment="1" pivotButton="0" quotePrefix="0" xfId="0">
      <alignment horizontal="center"/>
    </xf>
    <xf numFmtId="0" fontId="8" fillId="3" borderId="1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Continuous" wrapText="1"/>
    </xf>
    <xf numFmtId="164" fontId="4" fillId="3" borderId="1" applyAlignment="1" pivotButton="0" quotePrefix="0" xfId="0">
      <alignment horizontal="centerContinuous"/>
    </xf>
    <xf numFmtId="49" fontId="4" fillId="3" borderId="1" applyAlignment="1" pivotButton="0" quotePrefix="0" xfId="0">
      <alignment horizontal="centerContinuous"/>
    </xf>
    <xf numFmtId="165" fontId="4" fillId="3" borderId="1" applyAlignment="1" pivotButton="0" quotePrefix="0" xfId="0">
      <alignment horizontal="centerContinuous"/>
    </xf>
    <xf numFmtId="0" fontId="4" fillId="2" borderId="1" applyAlignment="1" pivotButton="0" quotePrefix="0" xfId="0">
      <alignment horizontal="center"/>
    </xf>
    <xf numFmtId="0" fontId="4" fillId="3" borderId="7" applyAlignment="1" pivotButton="0" quotePrefix="0" xfId="0">
      <alignment horizontal="centerContinuous"/>
    </xf>
    <xf numFmtId="0" fontId="4" fillId="3" borderId="8" applyAlignment="1" pivotButton="0" quotePrefix="0" xfId="0">
      <alignment horizontal="centerContinuous"/>
    </xf>
    <xf numFmtId="164" fontId="4" fillId="3" borderId="8" applyAlignment="1" pivotButton="0" quotePrefix="0" xfId="0">
      <alignment horizontal="centerContinuous"/>
    </xf>
    <xf numFmtId="164" fontId="4" fillId="3" borderId="9" applyAlignment="1" pivotButton="0" quotePrefix="0" xfId="0">
      <alignment horizontal="centerContinuous"/>
    </xf>
    <xf numFmtId="0" fontId="4" fillId="6" borderId="0" applyAlignment="1" pivotButton="0" quotePrefix="0" xfId="0">
      <alignment horizontal="centerContinuous"/>
    </xf>
    <xf numFmtId="164" fontId="4" fillId="6" borderId="0" applyAlignment="1" pivotButton="0" quotePrefix="0" xfId="0">
      <alignment horizontal="centerContinuous"/>
    </xf>
    <xf numFmtId="0" fontId="1" fillId="4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4" fillId="4" borderId="5" applyAlignment="1" pivotButton="0" quotePrefix="0" xfId="0">
      <alignment horizontal="center"/>
    </xf>
    <xf numFmtId="0" fontId="4" fillId="5" borderId="5" pivotButton="0" quotePrefix="0" xfId="0"/>
    <xf numFmtId="10" fontId="4" fillId="5" borderId="5" pivotButton="0" quotePrefix="0" xfId="0"/>
    <xf numFmtId="0" fontId="4" fillId="4" borderId="12" applyAlignment="1" pivotButton="0" quotePrefix="0" xfId="0">
      <alignment horizontal="center"/>
    </xf>
    <xf numFmtId="0" fontId="4" fillId="5" borderId="12" pivotButton="0" quotePrefix="0" xfId="0"/>
    <xf numFmtId="10" fontId="4" fillId="5" borderId="12" pivotButton="0" quotePrefix="0" xfId="0"/>
    <xf numFmtId="0" fontId="10" fillId="6" borderId="7" applyAlignment="1" pivotButton="0" quotePrefix="0" xfId="0">
      <alignment horizontal="center"/>
    </xf>
    <xf numFmtId="0" fontId="10" fillId="6" borderId="10" pivotButton="0" quotePrefix="0" xfId="0"/>
    <xf numFmtId="0" fontId="10" fillId="6" borderId="10" applyAlignment="1" pivotButton="0" quotePrefix="0" xfId="0">
      <alignment horizontal="center"/>
    </xf>
    <xf numFmtId="10" fontId="10" fillId="6" borderId="11" pivotButton="0" quotePrefix="0" xfId="0"/>
    <xf numFmtId="0" fontId="1" fillId="4" borderId="13" pivotButton="0" quotePrefix="0" xfId="0"/>
    <xf numFmtId="0" fontId="4" fillId="5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164" fontId="4" fillId="3" borderId="1" applyAlignment="1" pivotButton="0" quotePrefix="0" xfId="0">
      <alignment horizontal="centerContinuous"/>
    </xf>
    <xf numFmtId="165" fontId="4" fillId="3" borderId="1" applyAlignment="1" pivotButton="0" quotePrefix="0" xfId="0">
      <alignment horizontal="centerContinuous"/>
    </xf>
    <xf numFmtId="164" fontId="4" fillId="3" borderId="8" applyAlignment="1" pivotButton="0" quotePrefix="0" xfId="0">
      <alignment horizontal="centerContinuous"/>
    </xf>
    <xf numFmtId="164" fontId="4" fillId="3" borderId="9" applyAlignment="1" pivotButton="0" quotePrefix="0" xfId="0">
      <alignment horizontal="centerContinuous"/>
    </xf>
    <xf numFmtId="164" fontId="4" fillId="6" borderId="0" applyAlignment="1" pivotButton="0" quotePrefix="0" xfId="0">
      <alignment horizontal="centerContinuous"/>
    </xf>
    <xf numFmtId="0" fontId="10" fillId="6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050" b="0" i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rich>
      </tx>
      <layout>
        <manualLayout>
          <xMode val="edge"/>
          <yMode val="edge"/>
          <wMode val="factor"/>
          <hMode val="factor"/>
          <x val="0.421888943569554"/>
          <y val="0.038760910700116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"/>
          <w val="0.653667478676593"/>
          <h val="0.472885333265199"/>
        </manualLayout>
      </layout>
      <pie3DChart>
        <varyColors val="1"/>
        <ser>
          <idx val="0"/>
          <order val="0"/>
          <tx>
            <strRef>
              <f>"测试结果"</f>
              <strCache>
                <ptCount val="1"/>
                <pt idx="0">
                  <v>测试结果</v>
                </pt>
              </strCache>
            </strRef>
          </tx>
          <spPr>
            <a:ln w="25400">
              <a:noFill/>
              <a:prstDash val="solid"/>
            </a:ln>
          </spPr>
          <explosion val="0"/>
          <dPt>
            <idx val="0"/>
            <bubble3D val="0"/>
            <spPr>
              <a:solidFill>
                <a:srgbClr val="9999FF"/>
              </a:solidFill>
              <a:ln w="254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993366"/>
              </a:solidFill>
              <a:ln w="254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08000"/>
              </a:solidFill>
              <a:ln w="254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FFCC99"/>
              </a:solidFill>
              <a:ln w="25400">
                <a:noFill/>
                <a:prstDash val="solid"/>
              </a:ln>
            </spPr>
          </dPt>
          <dLbls>
            <delete val="1"/>
          </dLbls>
          <cat>
            <strRef>
              <f>Information文档信息!$B$38:$B$41</f>
              <strCache>
                <ptCount val="4"/>
                <pt idx="0">
                  <v>测试结果分析</v>
                </pt>
                <pt idx="1">
                  <v>OK项</v>
                </pt>
                <pt idx="2">
                  <v>POK项</v>
                </pt>
                <pt idx="3">
                  <v>NG项</v>
                </pt>
              </strCache>
            </strRef>
          </cat>
          <val>
            <numRef>
              <f>Information文档信息!$E$38:$E$41</f>
              <numCache>
                <formatCode>General</formatCode>
                <ptCount val="4"/>
                <pt idx="1">
                  <v>0</v>
                </pt>
                <pt idx="2">
                  <v>0.926829268292683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9922626859143"/>
          <y val="0.387610734704674"/>
          <w val="0.979199201662292"/>
          <h val="0.748088872611854"/>
        </manualLayout>
      </layout>
      <overlay val="0"/>
      <spPr>
        <a:solidFill>
          <a:srgbClr val="FFFFFF"/>
        </a:solidFill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65" b="0" i="0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3175">
      <a:solidFill>
        <a:srgbClr val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45"/>
  <sheetViews>
    <sheetView showGridLines="0" workbookViewId="0">
      <selection activeCell="H24" sqref="H24"/>
    </sheetView>
  </sheetViews>
  <sheetFormatPr baseColWidth="8" defaultColWidth="11.6296296296296" defaultRowHeight="15.75"/>
  <cols>
    <col width="1.62962962962963" customWidth="1" style="9" min="1" max="1"/>
    <col width="10.6296296296296" customWidth="1" style="9" min="2" max="13"/>
    <col width="7.62962962962963" customWidth="1" style="9" min="14" max="15"/>
    <col width="11.6296296296296" customWidth="1" style="9" min="16" max="16384"/>
  </cols>
  <sheetData>
    <row r="1" ht="9.9" customHeight="1"/>
    <row r="2" ht="22.5" customHeight="1">
      <c r="B2" s="14" t="inlineStr">
        <is>
          <t>Test  Case Form 测试用例表单</t>
        </is>
      </c>
      <c r="C2" s="14" t="n"/>
      <c r="D2" s="15" t="n"/>
      <c r="E2" s="15" t="n"/>
      <c r="F2" s="16" t="n"/>
      <c r="G2" s="16" t="n"/>
      <c r="H2" s="16" t="n"/>
      <c r="I2" s="16" t="n"/>
      <c r="J2" s="16" t="n"/>
      <c r="K2" s="16" t="n"/>
    </row>
    <row r="3">
      <c r="B3" s="15" t="n"/>
      <c r="C3" s="15" t="n"/>
      <c r="D3" s="15" t="n"/>
      <c r="E3" s="16" t="n"/>
      <c r="F3" s="16" t="n"/>
      <c r="G3" s="16" t="n"/>
      <c r="H3" s="16" t="n"/>
      <c r="I3" s="16" t="n"/>
      <c r="J3" s="16" t="n"/>
      <c r="K3" s="16" t="n"/>
    </row>
    <row r="4">
      <c r="B4" s="15" t="n"/>
      <c r="C4" s="15" t="n"/>
      <c r="D4" s="15" t="n"/>
      <c r="E4" s="15" t="n"/>
      <c r="F4" s="16" t="n"/>
      <c r="G4" s="16" t="n"/>
      <c r="H4" s="16" t="n"/>
      <c r="I4" s="16" t="n"/>
      <c r="J4" s="16" t="n"/>
      <c r="K4" s="16" t="n"/>
    </row>
    <row r="5" ht="3.9" customHeight="1"/>
    <row r="6">
      <c r="B6" s="17" t="inlineStr">
        <is>
          <t>General Information 基本信息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8" t="n"/>
    </row>
    <row r="7">
      <c r="B7" s="17" t="inlineStr">
        <is>
          <t>Product Verion 产品版本</t>
        </is>
      </c>
      <c r="C7" s="17" t="n"/>
      <c r="D7" s="17" t="n"/>
      <c r="E7" s="19" t="n"/>
      <c r="F7" s="19" t="n"/>
      <c r="G7" s="17" t="inlineStr">
        <is>
          <t>Confidentiality level 密级</t>
        </is>
      </c>
      <c r="H7" s="17" t="n"/>
      <c r="I7" s="17" t="n"/>
      <c r="J7" s="19" t="n"/>
      <c r="K7" s="19" t="n"/>
      <c r="L7" s="18" t="n"/>
    </row>
    <row r="8">
      <c r="B8" s="17" t="inlineStr">
        <is>
          <t>Project Name 项目名称</t>
        </is>
      </c>
      <c r="C8" s="17" t="n"/>
      <c r="D8" s="17" t="n"/>
      <c r="E8" s="19" t="n"/>
      <c r="F8" s="19" t="n"/>
      <c r="G8" s="17" t="inlineStr">
        <is>
          <t>Project ID 项目ID</t>
        </is>
      </c>
      <c r="H8" s="17" t="n"/>
      <c r="I8" s="17" t="n"/>
      <c r="J8" s="19" t="n"/>
      <c r="K8" s="19" t="n"/>
      <c r="L8" s="18" t="n"/>
    </row>
    <row r="9">
      <c r="B9" s="17" t="inlineStr">
        <is>
          <t>Prepared by 拟制</t>
        </is>
      </c>
      <c r="C9" s="17" t="n"/>
      <c r="D9" s="17" t="n"/>
      <c r="E9" s="19" t="n"/>
      <c r="F9" s="19" t="n"/>
      <c r="G9" s="17" t="inlineStr">
        <is>
          <t>Date 日期</t>
        </is>
      </c>
      <c r="H9" s="17" t="n"/>
      <c r="I9" s="17" t="n"/>
      <c r="J9" s="19" t="n"/>
      <c r="K9" s="19" t="n"/>
      <c r="L9" s="18" t="n"/>
    </row>
    <row r="10">
      <c r="B10" s="17" t="inlineStr">
        <is>
          <t>Reviewed by 评审人</t>
        </is>
      </c>
      <c r="C10" s="17" t="n"/>
      <c r="D10" s="17" t="n"/>
      <c r="E10" s="19" t="n"/>
      <c r="F10" s="19" t="n"/>
      <c r="G10" s="17" t="inlineStr">
        <is>
          <t>Date 日期</t>
        </is>
      </c>
      <c r="H10" s="17" t="n"/>
      <c r="I10" s="17" t="n"/>
      <c r="J10" s="19" t="n"/>
      <c r="K10" s="19" t="n"/>
      <c r="L10" s="18" t="n"/>
    </row>
    <row r="11">
      <c r="B11" s="17" t="inlineStr">
        <is>
          <t>Approved by 批准</t>
        </is>
      </c>
      <c r="C11" s="17" t="n"/>
      <c r="D11" s="17" t="n"/>
      <c r="E11" s="20" t="n"/>
      <c r="F11" s="19" t="n"/>
      <c r="G11" s="17" t="inlineStr">
        <is>
          <t>Date 日期</t>
        </is>
      </c>
      <c r="H11" s="17" t="n"/>
      <c r="I11" s="17" t="n"/>
      <c r="J11" s="19" t="inlineStr"/>
      <c r="K11" s="19" t="n"/>
      <c r="L11" s="18" t="n"/>
    </row>
    <row r="12" ht="3.9" customHeight="1"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>
      <c r="B13" s="17" t="inlineStr">
        <is>
          <t>Number of Test cases 测试用例数</t>
        </is>
      </c>
      <c r="C13" s="17" t="n"/>
      <c r="D13" s="17" t="n"/>
      <c r="E13" s="22">
        <f>COUNTA('Test Cases测试用例'!A2:A200)</f>
        <v/>
      </c>
      <c r="F13" s="18" t="n"/>
    </row>
    <row r="14" ht="3.9" customHeight="1">
      <c r="B14" s="21" t="n"/>
      <c r="C14" s="21" t="n"/>
      <c r="D14" s="21" t="n"/>
      <c r="E14" s="21" t="n"/>
    </row>
    <row r="15">
      <c r="B15" s="17" t="inlineStr">
        <is>
          <t>Introduction 概述</t>
        </is>
      </c>
      <c r="C15" s="17" t="n"/>
      <c r="D15" s="17" t="n"/>
      <c r="E15" s="17" t="inlineStr">
        <is>
          <t>对 croniter 的表达式解析、迭代、匹配、范围与时区执行 41 个清单参数化用例(CRON-UT-001—011、013—025、033—035、037—050,原 5 条专项自动化检查已并入账本);用例按设计方法归类为等价类、边界值与场景法三类,并与《手动测试v2.md》《自动化测试设计与实施说明v2.md》及 testdata/cron_cases.json 同步。</t>
        </is>
      </c>
      <c r="F15" s="17" t="n"/>
      <c r="G15" s="17" t="n"/>
      <c r="H15" s="17" t="n"/>
      <c r="I15" s="17" t="n"/>
      <c r="J15" s="17" t="n"/>
      <c r="K15" s="17" t="n"/>
      <c r="L15" s="18" t="n"/>
    </row>
    <row r="16" ht="18.9" customHeight="1">
      <c r="B16" s="23" t="inlineStr">
        <is>
          <t>在此处概述本测试用例</t>
        </is>
      </c>
      <c r="C16" s="24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8" t="n"/>
    </row>
    <row r="17" ht="3.9" customHeight="1"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B18" s="17" t="inlineStr">
        <is>
          <t>Revision Record 修订记录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n"/>
    </row>
    <row r="19" ht="45.75" customHeight="1">
      <c r="B19" s="25" t="inlineStr">
        <is>
          <t xml:space="preserve">Date 日期 </t>
        </is>
      </c>
      <c r="C19" s="25" t="inlineStr">
        <is>
          <t>Revision Version 修订 版本</t>
        </is>
      </c>
      <c r="D19" s="25" t="inlineStr">
        <is>
          <t>CR ID / Defect ID CR号</t>
        </is>
      </c>
      <c r="E19" s="26" t="inlineStr">
        <is>
          <t>Change Description 修改描述</t>
        </is>
      </c>
      <c r="F19" s="26" t="n"/>
      <c r="G19" s="26" t="n"/>
      <c r="H19" s="26" t="n"/>
      <c r="I19" s="26" t="n"/>
      <c r="J19" s="26" t="n"/>
      <c r="K19" s="25" t="inlineStr">
        <is>
          <t>Author 作者</t>
        </is>
      </c>
      <c r="L19" s="18" t="n"/>
    </row>
    <row r="20">
      <c r="B20" s="54" t="inlineStr">
        <is>
          <t>yyyy.mm.dd</t>
        </is>
      </c>
      <c r="C20" s="28" t="inlineStr">
        <is>
          <t>1.00</t>
        </is>
      </c>
      <c r="D20" s="19" t="inlineStr">
        <is>
          <t>xxx</t>
        </is>
      </c>
      <c r="E20" s="19" t="inlineStr">
        <is>
          <t>initial 初稿完成</t>
        </is>
      </c>
      <c r="F20" s="19" t="n"/>
      <c r="G20" s="19" t="n"/>
      <c r="H20" s="19" t="n"/>
      <c r="I20" s="19" t="n"/>
      <c r="J20" s="19" t="n"/>
      <c r="K20" s="19" t="inlineStr">
        <is>
          <t>Name 作者名</t>
        </is>
      </c>
      <c r="L20" s="18" t="n"/>
    </row>
    <row r="21">
      <c r="B21" s="54" t="inlineStr">
        <is>
          <t>yyyy.mm.dd</t>
        </is>
      </c>
      <c r="C21" s="28" t="n">
        <v>1.01</v>
      </c>
      <c r="D21" s="19" t="inlineStr">
        <is>
          <t>xxx</t>
        </is>
      </c>
      <c r="E21" s="19" t="inlineStr">
        <is>
          <t>revised xxx 修改XXX Xxx Xxx ...</t>
        </is>
      </c>
      <c r="F21" s="19" t="n"/>
      <c r="G21" s="19" t="n"/>
      <c r="H21" s="19" t="n"/>
      <c r="I21" s="19" t="n"/>
      <c r="J21" s="19" t="n"/>
      <c r="K21" s="19" t="inlineStr">
        <is>
          <t>Name 作者名</t>
        </is>
      </c>
      <c r="L21" s="18" t="n"/>
    </row>
    <row r="22">
      <c r="B22" s="54" t="n"/>
      <c r="C22" s="28" t="n"/>
      <c r="D22" s="19" t="inlineStr">
        <is>
          <t>xxx</t>
        </is>
      </c>
      <c r="E22" s="19" t="inlineStr">
        <is>
          <t>revised xxx 修改XXX Xxx Xxx ...</t>
        </is>
      </c>
      <c r="F22" s="19" t="n"/>
      <c r="G22" s="19" t="n"/>
      <c r="H22" s="19" t="n"/>
      <c r="I22" s="19" t="n"/>
      <c r="J22" s="19" t="n"/>
      <c r="K22" s="19" t="inlineStr">
        <is>
          <t>Name 作者名</t>
        </is>
      </c>
      <c r="L22" s="18" t="n"/>
    </row>
    <row r="23">
      <c r="B23" s="54" t="inlineStr">
        <is>
          <t>yyyy.mm.dd</t>
        </is>
      </c>
      <c r="C23" s="28" t="n">
        <v>1.02</v>
      </c>
      <c r="D23" s="19" t="inlineStr">
        <is>
          <t>xxx</t>
        </is>
      </c>
      <c r="E23" s="19" t="inlineStr">
        <is>
          <t>revised xxx 修改XXX Xxx Xxx ...</t>
        </is>
      </c>
      <c r="F23" s="19" t="n"/>
      <c r="G23" s="19" t="n"/>
      <c r="H23" s="19" t="n"/>
      <c r="I23" s="19" t="n"/>
      <c r="J23" s="19" t="n"/>
      <c r="K23" s="19" t="inlineStr">
        <is>
          <t>Name 作者名</t>
        </is>
      </c>
      <c r="L23" s="18" t="n"/>
    </row>
    <row r="24">
      <c r="B24" s="54" t="inlineStr">
        <is>
          <t>……</t>
        </is>
      </c>
      <c r="C24" s="28" t="inlineStr">
        <is>
          <t>……</t>
        </is>
      </c>
      <c r="D24" s="55" t="inlineStr">
        <is>
          <t>……</t>
        </is>
      </c>
      <c r="E24" s="19" t="inlineStr">
        <is>
          <t>……</t>
        </is>
      </c>
      <c r="F24" s="19" t="n"/>
      <c r="G24" s="19" t="n"/>
      <c r="H24" s="19" t="n"/>
      <c r="I24" s="19" t="n"/>
      <c r="J24" s="19" t="n"/>
      <c r="K24" s="19" t="inlineStr">
        <is>
          <t>Name 作者名</t>
        </is>
      </c>
      <c r="L24" s="18" t="n"/>
    </row>
    <row r="25">
      <c r="B25" s="54" t="inlineStr">
        <is>
          <t>2026.09.10</t>
        </is>
      </c>
      <c r="C25" s="28" t="n">
        <v>2</v>
      </c>
      <c r="D25" s="19" t="inlineStr">
        <is>
          <t>xxx</t>
        </is>
      </c>
      <c r="E25" s="19" t="n"/>
      <c r="F25" s="19" t="n"/>
      <c r="G25" s="19" t="n"/>
      <c r="H25" s="19" t="n"/>
      <c r="I25" s="19" t="n"/>
      <c r="J25" s="19" t="n"/>
      <c r="K25" s="19" t="inlineStr">
        <is>
          <t>测试小组</t>
        </is>
      </c>
      <c r="L25" s="18" t="n"/>
    </row>
    <row r="26" ht="33" customHeight="1">
      <c r="B26" s="54" t="inlineStr">
        <is>
          <t>2026.09.10</t>
        </is>
      </c>
      <c r="C26" s="28" t="inlineStr">
        <is>
          <t>3.00</t>
        </is>
      </c>
      <c r="D26" s="19" t="inlineStr">
        <is>
          <t>—</t>
        </is>
      </c>
      <c r="E26" s="19" t="n"/>
      <c r="F26" s="21" t="n"/>
      <c r="G26" s="21" t="n"/>
      <c r="H26" s="21" t="n"/>
      <c r="I26" s="21" t="n"/>
      <c r="J26" s="21" t="n"/>
      <c r="K26" s="19" t="inlineStr">
        <is>
          <t>测试小组</t>
        </is>
      </c>
    </row>
    <row r="27">
      <c r="B27" s="54" t="inlineStr">
        <is>
          <t>2026.09.10</t>
        </is>
      </c>
      <c r="C27" s="28" t="inlineStr">
        <is>
          <t>3.01</t>
        </is>
      </c>
      <c r="D27" s="19" t="inlineStr">
        <is>
          <t>—</t>
        </is>
      </c>
      <c r="E27" s="19" t="inlineStr">
        <is>
          <t>v3.01:将 5 条专项自动化检查并入账本参数化(新增 CRON-UT-041—050:日期越界、秒级返回类型、夏令时、非法输入类型、match/match_range/croniter_range/is_valid);删除 5 个独立测试函数;总数 41 清单用例=41 pytest 用例</t>
        </is>
      </c>
      <c r="K27" s="19" t="inlineStr">
        <is>
          <t>测试小组</t>
        </is>
      </c>
    </row>
    <row r="28">
      <c r="B28" s="54" t="inlineStr">
        <is>
          <t>2026.09.10</t>
        </is>
      </c>
      <c r="C28" s="28" t="inlineStr">
        <is>
          <t>3.02</t>
        </is>
      </c>
      <c r="D28" s="19" t="inlineStr">
        <is>
          <t>—</t>
        </is>
      </c>
      <c r="E28" s="19" t="inlineStr">
        <is>
          <t>v3.02:045—050 的类别由接口名 match 修正为设计方法(045—049→等价类、050→场景法),检查类型改由 check 字段承载;备注列同步改为方法名</t>
        </is>
      </c>
      <c r="K28" s="19" t="inlineStr">
        <is>
          <t>测试小组</t>
        </is>
      </c>
    </row>
    <row r="29">
      <c r="B29" s="17" t="inlineStr">
        <is>
          <t>Distribution LIST 分发记录</t>
        </is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8" t="n"/>
    </row>
    <row r="30">
      <c r="B30" s="30" t="inlineStr">
        <is>
          <t>Copy No.</t>
        </is>
      </c>
      <c r="C30" s="17" t="inlineStr">
        <is>
          <t>Holder's Name &amp; Role  持有者和角色</t>
        </is>
      </c>
      <c r="D30" s="17" t="n"/>
      <c r="E30" s="17" t="n"/>
      <c r="F30" s="17" t="n"/>
      <c r="G30" s="17" t="n"/>
      <c r="H30" s="17" t="n"/>
      <c r="I30" s="17" t="n"/>
      <c r="J30" s="17" t="inlineStr">
        <is>
          <t>Issue Date  分发日期</t>
        </is>
      </c>
      <c r="K30" s="17" t="n"/>
      <c r="L30" s="18" t="n"/>
    </row>
    <row r="31">
      <c r="B31" s="19" t="n">
        <v>1</v>
      </c>
      <c r="C31" s="19" t="inlineStr">
        <is>
          <t>&lt;T.M.B&amp;C.P.M&gt;</t>
        </is>
      </c>
      <c r="D31" s="19" t="n"/>
      <c r="E31" s="19" t="n"/>
      <c r="F31" s="19" t="n"/>
      <c r="G31" s="19" t="n"/>
      <c r="H31" s="19" t="n"/>
      <c r="I31" s="19" t="n"/>
      <c r="J31" s="54" t="inlineStr">
        <is>
          <t>yyyy.mm.dd</t>
        </is>
      </c>
      <c r="K31" s="54" t="n"/>
      <c r="L31" s="18" t="n"/>
    </row>
    <row r="32">
      <c r="B32" s="19" t="n">
        <v>2</v>
      </c>
      <c r="C32" s="19" t="inlineStr">
        <is>
          <t>&lt;Project Manager&gt;</t>
        </is>
      </c>
      <c r="D32" s="19" t="n"/>
      <c r="E32" s="19" t="n"/>
      <c r="F32" s="19" t="n"/>
      <c r="G32" s="19" t="n"/>
      <c r="H32" s="19" t="n"/>
      <c r="I32" s="19" t="n"/>
      <c r="J32" s="54" t="inlineStr">
        <is>
          <t>yyyy.mm.dd</t>
        </is>
      </c>
      <c r="K32" s="54" t="n"/>
      <c r="L32" s="18" t="n"/>
    </row>
    <row r="33">
      <c r="B33" s="19" t="n">
        <v>3</v>
      </c>
      <c r="C33" s="19" t="inlineStr">
        <is>
          <t>&lt;Team members&gt;</t>
        </is>
      </c>
      <c r="D33" s="19" t="n"/>
      <c r="E33" s="19" t="n"/>
      <c r="F33" s="19" t="n"/>
      <c r="G33" s="19" t="n"/>
      <c r="H33" s="19" t="n"/>
      <c r="I33" s="19" t="n"/>
      <c r="J33" s="54" t="inlineStr">
        <is>
          <t>yyyy.mm.dd</t>
        </is>
      </c>
      <c r="K33" s="54" t="n"/>
      <c r="L33" s="18" t="n"/>
    </row>
    <row r="34">
      <c r="B34" s="19" t="n">
        <v>4</v>
      </c>
      <c r="C34" s="19" t="inlineStr">
        <is>
          <t>&lt;Customer Representative&gt;</t>
        </is>
      </c>
      <c r="D34" s="19" t="n"/>
      <c r="E34" s="19" t="n"/>
      <c r="F34" s="19" t="n"/>
      <c r="G34" s="19" t="n"/>
      <c r="H34" s="19" t="n"/>
      <c r="I34" s="19" t="n"/>
      <c r="J34" s="54" t="inlineStr">
        <is>
          <t>yyyy.mm.dd</t>
        </is>
      </c>
      <c r="K34" s="54" t="n"/>
      <c r="L34" s="18" t="n"/>
    </row>
    <row r="35">
      <c r="B35" s="31" t="n">
        <v>5</v>
      </c>
      <c r="C35" s="32" t="inlineStr">
        <is>
          <t>&lt;Others&gt;</t>
        </is>
      </c>
      <c r="D35" s="32" t="n"/>
      <c r="E35" s="32" t="n"/>
      <c r="F35" s="32" t="n"/>
      <c r="G35" s="32" t="n"/>
      <c r="H35" s="32" t="n"/>
      <c r="I35" s="32" t="n"/>
      <c r="J35" s="56" t="inlineStr">
        <is>
          <t>yyyy.mm.dd</t>
        </is>
      </c>
      <c r="K35" s="57" t="n"/>
    </row>
    <row r="36">
      <c r="B36" s="35" t="n"/>
      <c r="C36" s="35" t="n"/>
      <c r="D36" s="35" t="n"/>
      <c r="E36" s="35" t="n"/>
      <c r="F36" s="35" t="n"/>
      <c r="G36" s="35" t="n"/>
      <c r="H36" s="35" t="n"/>
      <c r="I36" s="35" t="n"/>
      <c r="J36" s="58" t="n"/>
      <c r="K36" s="58" t="n"/>
    </row>
    <row r="37" ht="15" customHeight="1"/>
    <row r="38"/>
    <row r="39">
      <c r="B39" s="37" t="inlineStr">
        <is>
          <t>测试结果分析</t>
        </is>
      </c>
      <c r="C39" s="38" t="n"/>
      <c r="D39" s="38" t="n"/>
      <c r="E39" s="39" t="n"/>
    </row>
    <row r="40">
      <c r="B40" s="40" t="inlineStr">
        <is>
          <t>OK项</t>
        </is>
      </c>
      <c r="C40" s="41">
        <f>IF($E$13=0,0,COUNTIF('Test Cases测试用例'!$L:$L,"=OK"))</f>
        <v/>
      </c>
      <c r="D40" s="40" t="inlineStr">
        <is>
          <t>OK率</t>
        </is>
      </c>
      <c r="E40" s="42">
        <f>IF(E13=0,0,C38/E13)</f>
        <v/>
      </c>
    </row>
    <row r="41">
      <c r="B41" s="40" t="inlineStr">
        <is>
          <t>POK项</t>
        </is>
      </c>
      <c r="C41" s="41">
        <f>IF($E$13=0,0,COUNTIF('Test Cases测试用例'!$L:$L,"=POK"))</f>
        <v/>
      </c>
      <c r="D41" s="40" t="inlineStr">
        <is>
          <t>POK率</t>
        </is>
      </c>
      <c r="E41" s="42">
        <f>IF(E13=0,0,C39/E13)</f>
        <v/>
      </c>
    </row>
    <row r="42" ht="3" customHeight="1">
      <c r="B42" s="40" t="inlineStr">
        <is>
          <t>NG项</t>
        </is>
      </c>
      <c r="C42" s="41">
        <f>IF($E$13=0,0,COUNTIF('Test Cases测试用例'!$L:$L,"=NG"))</f>
        <v/>
      </c>
      <c r="D42" s="40" t="inlineStr">
        <is>
          <t>NG率</t>
        </is>
      </c>
      <c r="E42" s="42">
        <f>IF(E13=0,0,C40/E13)</f>
        <v/>
      </c>
    </row>
    <row r="43">
      <c r="B43" s="43" t="inlineStr">
        <is>
          <t>NT项</t>
        </is>
      </c>
      <c r="C43" s="44">
        <f>IF($E$13=0,0,COUNTIF('Test Cases测试用例'!$L:$L,"=NT"))</f>
        <v/>
      </c>
      <c r="D43" s="43" t="inlineStr">
        <is>
          <t>NT率</t>
        </is>
      </c>
      <c r="E43" s="45">
        <f>IF(E13=0,0,C41/E13)</f>
        <v/>
      </c>
    </row>
    <row r="44">
      <c r="B44" s="46" t="n"/>
      <c r="C44" s="59" t="n"/>
      <c r="D44" s="38" t="n"/>
      <c r="E44" s="39" t="n"/>
    </row>
    <row r="45">
      <c r="B45" s="50" t="inlineStr">
        <is>
          <t>用例总个数</t>
        </is>
      </c>
      <c r="C45" s="51">
        <f>E13</f>
        <v/>
      </c>
      <c r="D45" s="52" t="n"/>
      <c r="E45" s="53" t="n"/>
    </row>
  </sheetData>
  <mergeCells count="2">
    <mergeCell ref="C43:E43"/>
    <mergeCell ref="B37:E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tabSelected="1" zoomScale="85" zoomScaleNormal="85" workbookViewId="0">
      <selection activeCell="P6" sqref="P6"/>
    </sheetView>
  </sheetViews>
  <sheetFormatPr baseColWidth="8" defaultColWidth="11.6296296296296" defaultRowHeight="15.75"/>
  <cols>
    <col width="15.362962962963" customWidth="1" style="8" min="1" max="1"/>
    <col width="16.5407407407407" customWidth="1" style="8" min="2" max="2"/>
    <col width="26.8148148148148" customWidth="1" style="8" min="3" max="3"/>
    <col width="21" customWidth="1" style="8" min="4" max="4"/>
    <col hidden="1" width="13.9037037037037" customWidth="1" style="8" min="5" max="5"/>
    <col hidden="1" width="8.9037037037037" customWidth="1" style="8" min="6" max="6"/>
    <col width="21.1777777777778" customWidth="1" style="8" min="7" max="7"/>
    <col width="12.8148148148148" customWidth="1" style="8" min="8" max="8"/>
    <col width="14.4518518518519" customWidth="1" style="8" min="9" max="9"/>
    <col width="16.4518518518519" customWidth="1" style="8" min="10" max="10"/>
    <col width="11.8148148148148" customWidth="1" style="8" min="11" max="11"/>
    <col width="11" customWidth="1" style="8" min="12" max="12"/>
    <col width="20.9037037037037" customWidth="1" style="8" min="13" max="13"/>
    <col hidden="1" width="3.45185185185185" customWidth="1" style="9" min="14" max="14"/>
    <col width="11.6296296296296" customWidth="1" style="9" min="15" max="16384"/>
  </cols>
  <sheetData>
    <row r="1" ht="44.25" customHeight="1">
      <c r="A1" s="10" t="inlineStr">
        <is>
          <t>Test Case ID 测试用例编号</t>
        </is>
      </c>
      <c r="B1" s="10" t="inlineStr">
        <is>
          <t>Test Item 测试项（即功能模块或函数）</t>
        </is>
      </c>
      <c r="C1" s="10" t="inlineStr">
        <is>
          <t>Test Case Title 测试用例标题</t>
        </is>
      </c>
      <c r="D1" s="10" t="inlineStr">
        <is>
          <t>Test Criticality重要级别</t>
        </is>
      </c>
      <c r="E1" s="11" t="inlineStr">
        <is>
          <t>是否自动用例</t>
        </is>
      </c>
      <c r="F1" s="11" t="inlineStr">
        <is>
          <t>是否新增修改用例</t>
        </is>
      </c>
      <c r="G1" s="10" t="inlineStr">
        <is>
          <t>Pre-condition 预置条件</t>
        </is>
      </c>
      <c r="H1" s="10" t="inlineStr">
        <is>
          <t>Input 输入</t>
        </is>
      </c>
      <c r="I1" s="10" t="inlineStr">
        <is>
          <t>Procedure 操作步骤</t>
        </is>
      </c>
      <c r="J1" s="10" t="inlineStr">
        <is>
          <t>Output 预期结果</t>
        </is>
      </c>
      <c r="K1" s="10" t="inlineStr">
        <is>
          <t>Result
实际结果</t>
        </is>
      </c>
      <c r="L1" s="10" t="inlineStr">
        <is>
          <t>Status
是否通过</t>
        </is>
      </c>
      <c r="M1" s="10" t="inlineStr">
        <is>
          <t>Remark 备注（在此描述使用的测试方法）</t>
        </is>
      </c>
    </row>
    <row r="2" ht="60" customHeight="1">
      <c r="A2" s="12" t="inlineStr">
        <is>
          <t>CRON-UT-001</t>
        </is>
      </c>
      <c r="B2" s="12" t="inlineStr">
        <is>
          <t>croniter() 解析</t>
        </is>
      </c>
      <c r="C2" s="12" t="inlineStr">
        <is>
          <t>等价类:合法表达式 * * * * *(每分钟)解析并迭代</t>
        </is>
      </c>
      <c r="D2" s="12" t="inlineStr">
        <is>
          <t>高</t>
        </is>
      </c>
      <c r="E2" s="12" t="inlineStr">
        <is>
          <t>是</t>
        </is>
      </c>
      <c r="F2" s="12" t="inlineStr">
        <is>
          <t>是</t>
        </is>
      </c>
      <c r="G2" s="12" t="inlineStr">
        <is>
          <t>安装 croniter 6.2.2；准备固定输入和基准时间</t>
        </is>
      </c>
      <c r="H2" s="12" t="inlineStr">
        <is>
          <t>expr=* * * * *;start=2024-01-01T00:00:00+00:00</t>
        </is>
      </c>
      <c r="I2" s="12" t="inlineStr">
        <is>
          <t>croniter('* * * * *', start).get_next(datetime)</t>
        </is>
      </c>
      <c r="J2" s="12" t="inlineStr">
        <is>
          <t>datetime.datetime(2024, 1, 1, 0, 1, tzinfo=datetime.timezone.utc)</t>
        </is>
      </c>
      <c r="K2" s="12" t="inlineStr">
        <is>
          <t>datetime.datetime(2024, 1, 1, 0, 1, tzinfo=datetime.timezone.utc)</t>
        </is>
      </c>
      <c r="L2" s="12" t="inlineStr">
        <is>
          <t>OK</t>
        </is>
      </c>
      <c r="M2" s="13" t="inlineStr">
        <is>
          <t>等价类(合法表达式类)</t>
        </is>
      </c>
    </row>
    <row r="3" ht="60" customHeight="1">
      <c r="A3" s="12" t="inlineStr">
        <is>
          <t>CRON-UT-002</t>
        </is>
      </c>
      <c r="B3" s="12" t="inlineStr">
        <is>
          <t>croniter() 解析</t>
        </is>
      </c>
      <c r="C3" s="12" t="inlineStr">
        <is>
          <t>等价类:合法表达式 */5 * * * *(每 5 分钟)解析并迭代</t>
        </is>
      </c>
      <c r="D3" s="12" t="inlineStr">
        <is>
          <t>高</t>
        </is>
      </c>
      <c r="E3" s="12" t="inlineStr">
        <is>
          <t>是</t>
        </is>
      </c>
      <c r="F3" s="12" t="inlineStr">
        <is>
          <t>是</t>
        </is>
      </c>
      <c r="G3" s="12" t="inlineStr">
        <is>
          <t>安装 croniter 6.2.2；准备固定输入和基准时间</t>
        </is>
      </c>
      <c r="H3" s="12" t="inlineStr">
        <is>
          <t>expr=*/5 * * * *;start=2024-01-01T00:00:00+00:00</t>
        </is>
      </c>
      <c r="I3" s="12" t="inlineStr">
        <is>
          <t>croniter('*/5 * * * *', start).get_next(datetime)</t>
        </is>
      </c>
      <c r="J3" s="12" t="inlineStr">
        <is>
          <t>datetime.datetime(2024, 1, 1, 0, 5, tzinfo=datetime.timezone.utc)</t>
        </is>
      </c>
      <c r="K3" s="12" t="inlineStr">
        <is>
          <t>datetime.datetime(2024, 1, 1, 0, 5, tzinfo=datetime.timezone.utc)</t>
        </is>
      </c>
      <c r="L3" s="12" t="inlineStr">
        <is>
          <t>OK</t>
        </is>
      </c>
      <c r="M3" s="13" t="inlineStr">
        <is>
          <t>等价类(步长表达式)</t>
        </is>
      </c>
    </row>
    <row r="4" ht="60" customHeight="1">
      <c r="A4" s="12" t="inlineStr">
        <is>
          <t>CRON-UT-003</t>
        </is>
      </c>
      <c r="B4" s="12" t="inlineStr">
        <is>
          <t>croniter() 解析</t>
        </is>
      </c>
      <c r="C4" s="12" t="inlineStr">
        <is>
          <t>等价类:合法表达式 0 0 * * *(每天 0 点)解析并迭代</t>
        </is>
      </c>
      <c r="D4" s="12" t="inlineStr">
        <is>
          <t>高</t>
        </is>
      </c>
      <c r="E4" s="12" t="inlineStr">
        <is>
          <t>是</t>
        </is>
      </c>
      <c r="F4" s="12" t="inlineStr">
        <is>
          <t>是</t>
        </is>
      </c>
      <c r="G4" s="12" t="inlineStr">
        <is>
          <t>安装 croniter 6.2.2；准备固定输入和基准时间</t>
        </is>
      </c>
      <c r="H4" s="12" t="inlineStr">
        <is>
          <t>expr=0 0 * * *;start=2024-01-01T00:00:00+00:00</t>
        </is>
      </c>
      <c r="I4" s="12" t="inlineStr">
        <is>
          <t>croniter('0 0 * * *', start).get_next(datetime)</t>
        </is>
      </c>
      <c r="J4" s="12" t="inlineStr">
        <is>
          <t>datetime.datetime(2024, 1, 2, 0, 0, tzinfo=datetime.timezone.utc)</t>
        </is>
      </c>
      <c r="K4" s="12" t="inlineStr">
        <is>
          <t>datetime.datetime(2024, 1, 2, 0, 0, tzinfo=datetime.timezone.utc)</t>
        </is>
      </c>
      <c r="L4" s="12" t="inlineStr">
        <is>
          <t>OK</t>
        </is>
      </c>
      <c r="M4" s="13" t="inlineStr">
        <is>
          <t>等价类(整点表达式)</t>
        </is>
      </c>
    </row>
    <row r="5" ht="60" customHeight="1">
      <c r="A5" s="12" t="inlineStr">
        <is>
          <t>CRON-UT-004</t>
        </is>
      </c>
      <c r="B5" s="12" t="inlineStr">
        <is>
          <t>croniter() 解析</t>
        </is>
      </c>
      <c r="C5" s="12" t="inlineStr">
        <is>
          <t>等价类:合法表达式 1-5 * * * *(分钟区间)解析并迭代</t>
        </is>
      </c>
      <c r="D5" s="13" t="inlineStr">
        <is>
          <t>高</t>
        </is>
      </c>
      <c r="E5" s="12" t="inlineStr">
        <is>
          <t>是</t>
        </is>
      </c>
      <c r="F5" s="12" t="inlineStr">
        <is>
          <t>是</t>
        </is>
      </c>
      <c r="G5" s="13" t="inlineStr">
        <is>
          <t>安装 croniter 6.2.2；准备固定输入和基准时间</t>
        </is>
      </c>
      <c r="H5" s="12" t="inlineStr">
        <is>
          <t>expr=1-5 * * * *;start=2024-01-01T00:00:00+00:00</t>
        </is>
      </c>
      <c r="I5" s="12" t="inlineStr">
        <is>
          <t>croniter('1-5 * * * *', start).get_next(datetime)</t>
        </is>
      </c>
      <c r="J5" s="12" t="inlineStr">
        <is>
          <t>datetime.datetime(2024, 1, 1, 0, 1, tzinfo=datetime.timezone.utc)</t>
        </is>
      </c>
      <c r="K5" s="12" t="inlineStr">
        <is>
          <t>datetime.datetime(2024, 1, 1, 0, 1, tzinfo=datetime.timezone.utc)</t>
        </is>
      </c>
      <c r="L5" s="12" t="inlineStr">
        <is>
          <t>OK</t>
        </is>
      </c>
      <c r="M5" s="13" t="inlineStr">
        <is>
          <t>等价类(区间表达式)</t>
        </is>
      </c>
    </row>
    <row r="6" ht="60" customHeight="1">
      <c r="A6" s="12" t="inlineStr">
        <is>
          <t>CRON-UT-005</t>
        </is>
      </c>
      <c r="B6" s="12" t="inlineStr">
        <is>
          <t>croniter() 解析</t>
        </is>
      </c>
      <c r="C6" s="12" t="inlineStr">
        <is>
          <t>等价类:合法表达式 1,15,30 * * * *(分钟枚举)解析并迭代</t>
        </is>
      </c>
      <c r="D6" s="12" t="inlineStr">
        <is>
          <t>高</t>
        </is>
      </c>
      <c r="E6" s="12" t="inlineStr">
        <is>
          <t>是</t>
        </is>
      </c>
      <c r="F6" s="12" t="inlineStr">
        <is>
          <t>是</t>
        </is>
      </c>
      <c r="G6" s="12" t="inlineStr">
        <is>
          <t>安装 croniter 6.2.2；准备固定输入和基准时间</t>
        </is>
      </c>
      <c r="H6" s="12" t="inlineStr">
        <is>
          <t>expr=1,15,30 * * * *;start=2024-01-01T00:00:00+00:00</t>
        </is>
      </c>
      <c r="I6" s="12" t="inlineStr">
        <is>
          <t>croniter('1,15,30 * * * *', start).get_next(datetime)</t>
        </is>
      </c>
      <c r="J6" s="12" t="inlineStr">
        <is>
          <t>datetime.datetime(2024, 1, 1, 0, 1, tzinfo=datetime.timezone.utc)</t>
        </is>
      </c>
      <c r="K6" s="12" t="inlineStr">
        <is>
          <t>datetime.datetime(2024, 1, 1, 0, 1, tzinfo=datetime.timezone.utc)</t>
        </is>
      </c>
      <c r="L6" s="12" t="inlineStr">
        <is>
          <t>OK</t>
        </is>
      </c>
      <c r="M6" s="13" t="inlineStr">
        <is>
          <t>等价类(枚举列表表达式)</t>
        </is>
      </c>
    </row>
    <row r="7" ht="60" customHeight="1">
      <c r="A7" s="12" t="inlineStr">
        <is>
          <t>CRON-UT-006</t>
        </is>
      </c>
      <c r="B7" s="12" t="inlineStr">
        <is>
          <t>croniter() 解析</t>
        </is>
      </c>
      <c r="C7" s="12" t="inlineStr">
        <is>
          <t>等价类:合法表达式 0 9-17 * * 1-5(工作日 9-17 点)解析并迭代</t>
        </is>
      </c>
      <c r="D7" s="12" t="inlineStr">
        <is>
          <t>高</t>
        </is>
      </c>
      <c r="E7" s="12" t="inlineStr">
        <is>
          <t>是</t>
        </is>
      </c>
      <c r="F7" s="12" t="inlineStr">
        <is>
          <t>是</t>
        </is>
      </c>
      <c r="G7" s="12" t="inlineStr">
        <is>
          <t>安装 croniter 6.2.2；准备固定输入和基准时间</t>
        </is>
      </c>
      <c r="H7" s="12" t="inlineStr">
        <is>
          <t>expr=0 9-17 * * 1-5;start=2024-01-01T00:00:00+00:00</t>
        </is>
      </c>
      <c r="I7" s="12" t="inlineStr">
        <is>
          <t>croniter('0 9-17 * * 1-5', start).get_next(datetime)</t>
        </is>
      </c>
      <c r="J7" s="12" t="inlineStr">
        <is>
          <t>datetime.datetime(2024, 1, 1, 9, 0, tzinfo=datetime.timezone.utc)</t>
        </is>
      </c>
      <c r="K7" s="12" t="inlineStr">
        <is>
          <t>datetime.datetime(2024, 1, 1, 9, 0, tzinfo=datetime.timezone.utc)</t>
        </is>
      </c>
      <c r="L7" s="12" t="inlineStr">
        <is>
          <t>OK</t>
        </is>
      </c>
      <c r="M7" s="13" t="inlineStr">
        <is>
          <t>等价类(小时+星期组合表达式)</t>
        </is>
      </c>
    </row>
    <row r="8" ht="60" customHeight="1">
      <c r="A8" s="12" t="inlineStr">
        <is>
          <t>CRON-UT-007</t>
        </is>
      </c>
      <c r="B8" s="12" t="inlineStr">
        <is>
          <t>croniter() 解析</t>
        </is>
      </c>
      <c r="C8" s="12" t="inlineStr">
        <is>
          <t>等价类:合法别名 @daily 解析并迭代</t>
        </is>
      </c>
      <c r="D8" s="12" t="inlineStr">
        <is>
          <t>高</t>
        </is>
      </c>
      <c r="E8" s="12" t="inlineStr">
        <is>
          <t>是</t>
        </is>
      </c>
      <c r="F8" s="12" t="inlineStr">
        <is>
          <t>是</t>
        </is>
      </c>
      <c r="G8" s="12" t="inlineStr">
        <is>
          <t>安装 croniter 6.2.2；准备固定输入和基准时间</t>
        </is>
      </c>
      <c r="H8" s="12" t="inlineStr">
        <is>
          <t>expr=@daily;start=2024-01-01T00:00:00+00:00</t>
        </is>
      </c>
      <c r="I8" s="12" t="inlineStr">
        <is>
          <t>croniter('@daily', start).get_next(datetime)</t>
        </is>
      </c>
      <c r="J8" s="12" t="inlineStr">
        <is>
          <t>datetime.datetime(2024, 1, 2, 0, 0, tzinfo=datetime.timezone.utc)</t>
        </is>
      </c>
      <c r="K8" s="12" t="inlineStr">
        <is>
          <t>datetime.datetime(2024, 1, 2, 0, 0, tzinfo=datetime.timezone.utc)</t>
        </is>
      </c>
      <c r="L8" s="12" t="inlineStr">
        <is>
          <t>OK</t>
        </is>
      </c>
      <c r="M8" s="13" t="inlineStr">
        <is>
          <t>等价类(别名表达式)</t>
        </is>
      </c>
    </row>
    <row r="9" ht="60" customHeight="1">
      <c r="A9" s="12" t="inlineStr">
        <is>
          <t>CRON-UT-008</t>
        </is>
      </c>
      <c r="B9" s="12" t="inlineStr">
        <is>
          <t>croniter() 解析</t>
        </is>
      </c>
      <c r="C9" s="12" t="inlineStr">
        <is>
          <t>等价类:合法表达式 0 0 1 1 *(每年 1 月 1 日)解析并迭代</t>
        </is>
      </c>
      <c r="D9" s="12" t="inlineStr">
        <is>
          <t>高</t>
        </is>
      </c>
      <c r="E9" s="12" t="inlineStr">
        <is>
          <t>是</t>
        </is>
      </c>
      <c r="F9" s="12" t="inlineStr">
        <is>
          <t>是</t>
        </is>
      </c>
      <c r="G9" s="12" t="inlineStr">
        <is>
          <t>安装 croniter 6.2.2；准备固定输入和基准时间</t>
        </is>
      </c>
      <c r="H9" s="12" t="inlineStr">
        <is>
          <t>expr=0 0 1 1 *;start=2024-01-01T00:00:00+00:00</t>
        </is>
      </c>
      <c r="I9" s="12" t="inlineStr">
        <is>
          <t>croniter('0 0 1 1 *', start).get_next(datetime)</t>
        </is>
      </c>
      <c r="J9" s="12" t="inlineStr">
        <is>
          <t>datetime.datetime(2025, 1, 1, 0, 0, tzinfo=datetime.timezone.utc)</t>
        </is>
      </c>
      <c r="K9" s="12" t="inlineStr">
        <is>
          <t>datetime.datetime(2025, 1, 1, 0, 0, tzinfo=datetime.timezone.utc)</t>
        </is>
      </c>
      <c r="L9" s="12" t="inlineStr">
        <is>
          <t>OK</t>
        </is>
      </c>
      <c r="M9" s="13" t="inlineStr">
        <is>
          <t>等价类(年月日表达式)</t>
        </is>
      </c>
    </row>
    <row r="10" ht="150" customHeight="1">
      <c r="A10" s="12" t="inlineStr">
        <is>
          <t>CRON-UT-009</t>
        </is>
      </c>
      <c r="B10" s="12" t="inlineStr">
        <is>
          <t>croniter() 解析</t>
        </is>
      </c>
      <c r="C10" s="12" t="inlineStr">
        <is>
          <t>等价类:非法文本 bad expr 应抛出标准错误</t>
        </is>
      </c>
      <c r="D10" s="13" t="inlineStr">
        <is>
          <t>高</t>
        </is>
      </c>
      <c r="E10" s="12" t="inlineStr">
        <is>
          <t>是</t>
        </is>
      </c>
      <c r="F10" s="12" t="inlineStr">
        <is>
          <t>是</t>
        </is>
      </c>
      <c r="G10" s="13" t="inlineStr">
        <is>
          <t>安装 croniter 6.2.2；准备固定输入和基准时间</t>
        </is>
      </c>
      <c r="H10" s="12" t="inlineStr">
        <is>
          <t>expr=bad expr;start=2024-01-01T00:00:00+00:00</t>
        </is>
      </c>
      <c r="I10" s="12" t="inlineStr">
        <is>
          <t>try:
    croniter('bad expr', start)
    print('未抛异常，该用例失败')
except CroniterBadCronError as e:
print('CroniterBadCronError:', e)</t>
        </is>
      </c>
      <c r="J10" s="12" t="inlineStr">
        <is>
          <t>CroniterBadCronError:Exactly 5, 6 or 7 columns has to be specified for iterator expression.</t>
        </is>
      </c>
      <c r="K10" s="12" t="inlineStr">
        <is>
          <t>CroniterBadCronError:Exactly 5, 6 or 7 columns has to be specified for iterator expression.</t>
        </is>
      </c>
      <c r="L10" s="12" t="inlineStr">
        <is>
          <t>OK</t>
        </is>
      </c>
      <c r="M10" s="13" t="inlineStr">
        <is>
          <t>等价类(非法表达式类)</t>
        </is>
      </c>
      <c r="O10" s="1" t="n"/>
    </row>
    <row r="11" ht="150" customHeight="1">
      <c r="A11" s="12" t="inlineStr">
        <is>
          <t>CRON-UT-010</t>
        </is>
      </c>
      <c r="B11" s="12" t="inlineStr">
        <is>
          <t>croniter() 解析</t>
        </is>
      </c>
      <c r="C11" s="12" t="inlineStr">
        <is>
          <t>等价类:字段数不足 * * * * 应抛出标准错误</t>
        </is>
      </c>
      <c r="D11" s="12" t="inlineStr">
        <is>
          <t>高</t>
        </is>
      </c>
      <c r="E11" s="12" t="inlineStr">
        <is>
          <t>是</t>
        </is>
      </c>
      <c r="F11" s="12" t="inlineStr">
        <is>
          <t>是</t>
        </is>
      </c>
      <c r="G11" s="12" t="inlineStr">
        <is>
          <t>安装 croniter 6.2.2；准备固定输入和基准时间</t>
        </is>
      </c>
      <c r="H11" s="12" t="inlineStr">
        <is>
          <t>expr=* * * *(仅 4 个字段);start=2024-01-01T00:00:00+00:00</t>
        </is>
      </c>
      <c r="I11" s="12" t="inlineStr">
        <is>
          <t>try:
    croniter('* * * *', start)
    print('未抛异常，该用例失败')
except CroniterBadCronError as e:  print('CroniterBadCronError:', e)</t>
        </is>
      </c>
      <c r="J11" s="12" t="inlineStr">
        <is>
          <t>CroniterBadCronError:Exactly 5, 6 or 7 columns has to be specified for iterator expression.</t>
        </is>
      </c>
      <c r="K11" s="12" t="inlineStr">
        <is>
          <t>CroniterBadCronError:Exactly 5, 6 or 7 columns has to be specified for iterator expression.</t>
        </is>
      </c>
      <c r="L11" s="12" t="inlineStr">
        <is>
          <t>OK</t>
        </is>
      </c>
      <c r="M11" s="13" t="inlineStr">
        <is>
          <t>等价类(非法表达式类)</t>
        </is>
      </c>
      <c r="O11" s="1" t="n"/>
    </row>
    <row r="12" ht="150" customHeight="1">
      <c r="A12" s="12" t="inlineStr">
        <is>
          <t>CRON-UT-011</t>
        </is>
      </c>
      <c r="B12" s="12" t="inlineStr">
        <is>
          <t>croniter() 解析</t>
        </is>
      </c>
      <c r="C12" s="12" t="inlineStr">
        <is>
          <t>等价类:分钟越界 60 * * * * 应抛出标准错误</t>
        </is>
      </c>
      <c r="D12" s="12" t="inlineStr">
        <is>
          <t>高</t>
        </is>
      </c>
      <c r="E12" s="12" t="inlineStr">
        <is>
          <t>是</t>
        </is>
      </c>
      <c r="F12" s="12" t="inlineStr">
        <is>
          <t>是</t>
        </is>
      </c>
      <c r="G12" s="12" t="inlineStr">
        <is>
          <t>安装 croniter 6.2.2；准备固定输入和基准时间</t>
        </is>
      </c>
      <c r="H12" s="12" t="inlineStr">
        <is>
          <t>expr=60 * * * *(分钟超上限 60);start=2024-01-01T00:00:00+00:00</t>
        </is>
      </c>
      <c r="I12" s="12" t="inlineStr">
        <is>
          <t>try:
    croniter('60 * * * *', start)
    print('未抛异常，该用例失败')
except CroniterBadCronError as e:
print('CroniterBadCronError:', e)</t>
        </is>
      </c>
      <c r="J12" s="12" t="inlineStr">
        <is>
          <t>CroniterBadCronError:[60 * * * *] is not acceptable, out of range</t>
        </is>
      </c>
      <c r="K12" s="12" t="inlineStr">
        <is>
          <t>CroniterBadCronError:[60 * * * *] is not acceptable, out of range</t>
        </is>
      </c>
      <c r="L12" s="12" t="inlineStr">
        <is>
          <t>OK</t>
        </is>
      </c>
      <c r="M12" s="13" t="inlineStr">
        <is>
          <t>等价类(非法表达式类,分钟越界)</t>
        </is>
      </c>
      <c r="O12" s="1" t="n"/>
    </row>
    <row r="13" ht="150" customHeight="1">
      <c r="A13" s="12" t="inlineStr">
        <is>
          <t>CRON-UT-041</t>
        </is>
      </c>
      <c r="B13" s="12" t="inlineStr">
        <is>
          <t>croniter() 解析</t>
        </is>
      </c>
      <c r="C13" s="12" t="inlineStr">
        <is>
          <t>等价类:日期越界 0 0 32 * * 应抛出标准错误</t>
        </is>
      </c>
      <c r="D13" s="12" t="inlineStr">
        <is>
          <t>高</t>
        </is>
      </c>
      <c r="E13" s="12" t="inlineStr">
        <is>
          <t>是</t>
        </is>
      </c>
      <c r="F13" s="12" t="inlineStr">
        <is>
          <t>是</t>
        </is>
      </c>
      <c r="G13" s="12" t="inlineStr">
        <is>
          <t>安装 croniter 6.2.2；准备固定输入和基准时间</t>
        </is>
      </c>
      <c r="H13" s="12" t="inlineStr">
        <is>
          <t>expr=0 0 32 * *(日 32 越界);start=2024-01-01T00:00:00+00:00</t>
        </is>
      </c>
      <c r="I13" s="12" t="inlineStr">
        <is>
          <t>try:
    croniter('0 0 32 * *', start)
    print('未抛异常，该用例失败')
except CroniterBadCronError as e:
    print('CroniterBadCronError:', e)</t>
        </is>
      </c>
      <c r="J13" s="12" t="inlineStr">
        <is>
          <t>CroniterBadCronError: [0 0 32 * *] is not acceptable, out of range</t>
        </is>
      </c>
      <c r="K13" s="12" t="inlineStr">
        <is>
          <t>CroniterBadCronError: [0 0 32 * *] is not acceptable, out of range</t>
        </is>
      </c>
      <c r="L13" s="12" t="inlineStr">
        <is>
          <t>OK</t>
        </is>
      </c>
      <c r="M13" s="13" t="inlineStr">
        <is>
          <t>等价类(非法表达式类,日期越界)</t>
        </is>
      </c>
    </row>
    <row r="14" ht="75" customHeight="1">
      <c r="A14" s="12" t="inlineStr">
        <is>
          <t>CRON-UT-013</t>
        </is>
      </c>
      <c r="B14" s="12" t="inlineStr">
        <is>
          <t>get_next()/get_prev() 迭代</t>
        </is>
      </c>
      <c r="C14" s="13" t="inlineStr">
        <is>
          <t>边界值:每分钟迭代(起始 00:00,分钟边界)</t>
        </is>
      </c>
      <c r="D14" s="12" t="inlineStr">
        <is>
          <t>中</t>
        </is>
      </c>
      <c r="E14" s="12" t="inlineStr">
        <is>
          <t>是</t>
        </is>
      </c>
      <c r="F14" s="12" t="inlineStr">
        <is>
          <t>是</t>
        </is>
      </c>
      <c r="G14" s="12" t="inlineStr">
        <is>
          <t>安装 croniter 6.2.2；准备固定输入和基准时间</t>
        </is>
      </c>
      <c r="H14" s="12" t="inlineStr">
        <is>
          <t>expr=* * * * *;start=2024-01-01T00:00:00+00:00</t>
        </is>
      </c>
      <c r="I14" s="12" t="inlineStr">
        <is>
          <t>croniter('* * * * *', datetime.fromisoformat('2024-01-01T00:00:00+00:00')).get_next(datetime)</t>
        </is>
      </c>
      <c r="J14" s="12" t="inlineStr">
        <is>
          <t>datetime.datetime(2024, 1, 1, 0, 1, tzinfo=datetime.timezone.utc)</t>
        </is>
      </c>
      <c r="K14" s="12" t="inlineStr">
        <is>
          <t>datetime.datetime(2024, 1, 1, 0, 1, tzinfo=datetime.timezone.utc)</t>
        </is>
      </c>
      <c r="L14" s="12" t="inlineStr">
        <is>
          <t>OK</t>
        </is>
      </c>
      <c r="M14" s="13" t="inlineStr">
        <is>
          <t>边界值(分钟边界)</t>
        </is>
      </c>
    </row>
    <row r="15" ht="75" customHeight="1">
      <c r="A15" s="12" t="inlineStr">
        <is>
          <t>CRON-UT-014</t>
        </is>
      </c>
      <c r="B15" s="12" t="inlineStr">
        <is>
          <t>get_next()/get_prev() 迭代</t>
        </is>
      </c>
      <c r="C15" s="13" t="inlineStr">
        <is>
          <t>边界值:整点迭代(起始 00:00,小时边界)</t>
        </is>
      </c>
      <c r="D15" s="12" t="inlineStr">
        <is>
          <t>中</t>
        </is>
      </c>
      <c r="E15" s="12" t="inlineStr">
        <is>
          <t>是</t>
        </is>
      </c>
      <c r="F15" s="12" t="inlineStr">
        <is>
          <t>是</t>
        </is>
      </c>
      <c r="G15" s="12" t="inlineStr">
        <is>
          <t>安装 croniter 6.2.2；准备固定输入和基准时间</t>
        </is>
      </c>
      <c r="H15" s="12" t="inlineStr">
        <is>
          <t>expr=0 * * * *;start=2024-01-01T00:00:00+00:00</t>
        </is>
      </c>
      <c r="I15" s="12" t="inlineStr">
        <is>
          <t>croniter('0 * * * *', datetime.fromisoformat('2024-01-01T00:00:00+00:00')).get_next(datetime)</t>
        </is>
      </c>
      <c r="J15" s="12" t="inlineStr">
        <is>
          <t>datetime.datetime(2024, 1, 1, 1, 0, tzinfo=datetime.timezone.utc)</t>
        </is>
      </c>
      <c r="K15" s="12" t="inlineStr">
        <is>
          <t>datetime.datetime(2024, 1, 1, 1, 0, tzinfo=datetime.timezone.utc)</t>
        </is>
      </c>
      <c r="L15" s="12" t="inlineStr">
        <is>
          <t>OK</t>
        </is>
      </c>
      <c r="M15" s="13" t="inlineStr">
        <is>
          <t>边界值(小时边界)</t>
        </is>
      </c>
    </row>
    <row r="16" ht="90" customHeight="1">
      <c r="A16" s="12" t="inlineStr">
        <is>
          <t>CRON-UT-015</t>
        </is>
      </c>
      <c r="B16" s="12" t="inlineStr">
        <is>
          <t>get_next()/get_prev() 迭代</t>
        </is>
      </c>
      <c r="C16" s="12" t="inlineStr">
        <is>
          <t>边界值:每月 1 号跨月(起始 01-02,月边界)</t>
        </is>
      </c>
      <c r="D16" s="12" t="inlineStr">
        <is>
          <t>中</t>
        </is>
      </c>
      <c r="E16" s="12" t="inlineStr">
        <is>
          <t>是</t>
        </is>
      </c>
      <c r="F16" s="12" t="inlineStr">
        <is>
          <t>是</t>
        </is>
      </c>
      <c r="G16" s="12" t="inlineStr">
        <is>
          <t>安装 croniter 6.2.2；准备固定输入和基准时间</t>
        </is>
      </c>
      <c r="H16" s="12" t="inlineStr">
        <is>
          <t>expr=0 0 1 * *;start=2024-01-02T00:00:00+00:00</t>
        </is>
      </c>
      <c r="I16" s="12" t="inlineStr">
        <is>
          <t>croniter('0 0 1 * *', datetime.fromisoformat('2024-01-02T00:00:00+00:00')).get_next(datetime)</t>
        </is>
      </c>
      <c r="J16" s="12" t="inlineStr">
        <is>
          <t>datetime.datetime(2024, 2, 1, 0, 0, tzinfo=datetime.timezone.utc)</t>
        </is>
      </c>
      <c r="K16" s="12" t="inlineStr">
        <is>
          <t>datetime.datetime(2024, 2, 1, 0, 0, tzinfo=datetime.timezone.utc)</t>
        </is>
      </c>
      <c r="L16" s="12" t="inlineStr">
        <is>
          <t>OK</t>
        </is>
      </c>
      <c r="M16" s="13" t="inlineStr">
        <is>
          <t>边界值(月边界)</t>
        </is>
      </c>
    </row>
    <row r="17" ht="75" customHeight="1">
      <c r="A17" s="12" t="inlineStr">
        <is>
          <t>CRON-UT-016</t>
        </is>
      </c>
      <c r="B17" s="12" t="inlineStr">
        <is>
          <t>get_next()/get_prev() 迭代</t>
        </is>
      </c>
      <c r="C17" s="13" t="inlineStr">
        <is>
          <t>边界值:闰年 2 月 29 日(起始 2023-01-01)</t>
        </is>
      </c>
      <c r="D17" s="12" t="inlineStr">
        <is>
          <t>中</t>
        </is>
      </c>
      <c r="E17" s="12" t="inlineStr">
        <is>
          <t>是</t>
        </is>
      </c>
      <c r="F17" s="12" t="inlineStr">
        <is>
          <t>是</t>
        </is>
      </c>
      <c r="G17" s="12" t="inlineStr">
        <is>
          <t>安装 croniter 6.2.2；准备固定输入和基准时间</t>
        </is>
      </c>
      <c r="H17" s="12" t="inlineStr">
        <is>
          <t>expr=0 0 29 2 *;start=2023-01-01T00:00:00+00:00</t>
        </is>
      </c>
      <c r="I17" s="12" t="inlineStr">
        <is>
          <t>croniter('0 0 29 2 *', datetime.fromisoformat('2023-01-01T00:00:00+00:00')).get_next(datetime)</t>
        </is>
      </c>
      <c r="J17" s="12" t="inlineStr">
        <is>
          <t>datetime.datetime(2024, 2, 29, 0, 0, tzinfo=datetime.timezone.utc)(2024 为闰年)</t>
        </is>
      </c>
      <c r="K17" s="12" t="inlineStr">
        <is>
          <t>datetime.datetime(2024, 2, 29, 0, 0, tzinfo=datetime.timezone.utc)</t>
        </is>
      </c>
      <c r="L17" s="12" t="inlineStr">
        <is>
          <t>OK</t>
        </is>
      </c>
      <c r="M17" s="13" t="inlineStr">
        <is>
          <t>边界值(闰年边界)</t>
        </is>
      </c>
    </row>
    <row r="18" ht="75" customHeight="1">
      <c r="A18" s="12" t="inlineStr">
        <is>
          <t>CRON-UT-017</t>
        </is>
      </c>
      <c r="B18" s="12" t="inlineStr">
        <is>
          <t>get_next()/get_prev() 迭代</t>
        </is>
      </c>
      <c r="C18" s="12" t="inlineStr">
        <is>
          <t>边界值:年末最后一分钟 23:59(起始 2024-01-01)</t>
        </is>
      </c>
      <c r="D18" s="12" t="inlineStr">
        <is>
          <t>中</t>
        </is>
      </c>
      <c r="E18" s="12" t="inlineStr">
        <is>
          <t>是</t>
        </is>
      </c>
      <c r="F18" s="12" t="inlineStr">
        <is>
          <t>是</t>
        </is>
      </c>
      <c r="G18" s="12" t="inlineStr">
        <is>
          <t>安装 croniter 6.2.2；准备固定输入和基准时间</t>
        </is>
      </c>
      <c r="H18" s="12" t="inlineStr">
        <is>
          <t>expr=59 23 31 12 *;start=2024-01-01T00:00:00+00:00</t>
        </is>
      </c>
      <c r="I18" s="12" t="inlineStr">
        <is>
          <t>croniter('59 23 31 12 *', datetime.fromisoformat('2024-01-01T00:00:00+00:00')).get_next(datetime)</t>
        </is>
      </c>
      <c r="J18" s="12" t="inlineStr">
        <is>
          <t>datetime.datetime(2024, 12, 31, 23, 59, tzinfo=datetime.timezone.utc)</t>
        </is>
      </c>
      <c r="K18" s="12" t="inlineStr">
        <is>
          <t>datetime.datetime(2024, 12, 31, 23, 59, tzinfo=datetime.timezone.utc)</t>
        </is>
      </c>
      <c r="L18" s="12" t="inlineStr">
        <is>
          <t>OK</t>
        </is>
      </c>
      <c r="M18" s="13" t="inlineStr">
        <is>
          <t>边界值(年边界 23:59)</t>
        </is>
      </c>
    </row>
    <row r="19" ht="90" customHeight="1">
      <c r="A19" s="12" t="inlineStr">
        <is>
          <t>CRON-UT-018</t>
        </is>
      </c>
      <c r="B19" s="12" t="inlineStr">
        <is>
          <t>get_next()/get_prev() 迭代</t>
        </is>
      </c>
      <c r="C19" s="12" t="inlineStr">
        <is>
          <t>边界值:周日迭代(起始周六 01-06,星期边界)</t>
        </is>
      </c>
      <c r="D19" s="12" t="inlineStr">
        <is>
          <t>中</t>
        </is>
      </c>
      <c r="E19" s="12" t="inlineStr">
        <is>
          <t>是</t>
        </is>
      </c>
      <c r="F19" s="12" t="inlineStr">
        <is>
          <t>是</t>
        </is>
      </c>
      <c r="G19" s="12" t="inlineStr">
        <is>
          <t>安装 croniter 6.2.2；准备固定输入和基准时间</t>
        </is>
      </c>
      <c r="H19" s="12" t="inlineStr">
        <is>
          <t>expr=0 0 * * 0;start=2024-01-06T00:00:00+00:00</t>
        </is>
      </c>
      <c r="I19" s="12" t="inlineStr">
        <is>
          <t>croniter('0 0 * * 0', datetime.fromisoformat('2024-01-06T00:00:00+00:00')).get_next(datetime)</t>
        </is>
      </c>
      <c r="J19" s="12" t="inlineStr">
        <is>
          <t>datetime.datetime(2024, 1, 7, 0, 0, tzinfo=datetime.timezone.utc)(01-07 为周日)</t>
        </is>
      </c>
      <c r="K19" s="12" t="inlineStr">
        <is>
          <t>datetime.datetime(2024, 1, 7, 0, 0, tzinfo=datetime.timezone.utc)</t>
        </is>
      </c>
      <c r="L19" s="12" t="inlineStr">
        <is>
          <t>OK</t>
        </is>
      </c>
      <c r="M19" s="13" t="inlineStr">
        <is>
          <t>边界值(星期边界周日)</t>
        </is>
      </c>
    </row>
    <row r="20" ht="75" customHeight="1">
      <c r="A20" s="12" t="inlineStr">
        <is>
          <t>CRON-UT-019</t>
        </is>
      </c>
      <c r="B20" s="12" t="inlineStr">
        <is>
          <t>get_next()/get_prev() 迭代</t>
        </is>
      </c>
      <c r="C20" s="13" t="inlineStr">
        <is>
          <t>边界值:跨年 1 月 1 日(起始 2024-01-02,年边界)</t>
        </is>
      </c>
      <c r="D20" s="12" t="inlineStr">
        <is>
          <t>中</t>
        </is>
      </c>
      <c r="E20" s="12" t="inlineStr">
        <is>
          <t>是</t>
        </is>
      </c>
      <c r="F20" s="12" t="inlineStr">
        <is>
          <t>是</t>
        </is>
      </c>
      <c r="G20" s="12" t="inlineStr">
        <is>
          <t>安装 croniter 6.2.2；准备固定输入和基准时间</t>
        </is>
      </c>
      <c r="H20" s="12" t="inlineStr">
        <is>
          <t>expr=0 0 1 1 *;start=2024-01-02T00:00:00+00:00</t>
        </is>
      </c>
      <c r="I20" s="12" t="inlineStr">
        <is>
          <t>croniter('0 0 1 1 *', datetime.fromisoformat('2024-01-02T00:00:00+00:00')).get_next(datetime)</t>
        </is>
      </c>
      <c r="J20" s="12" t="inlineStr">
        <is>
          <t>datetime.datetime(2025, 1, 1, 0, 0, tzinfo=datetime.timezone.utc)</t>
        </is>
      </c>
      <c r="K20" s="12" t="inlineStr">
        <is>
          <t>datetime.datetime(2025, 1, 1, 0, 0, tzinfo=datetime.timezone.utc)</t>
        </is>
      </c>
      <c r="L20" s="12" t="inlineStr">
        <is>
          <t>OK</t>
        </is>
      </c>
      <c r="M20" s="13" t="inlineStr">
        <is>
          <t>边界值(跨年边界)</t>
        </is>
      </c>
    </row>
    <row r="21" ht="75" customHeight="1">
      <c r="A21" s="12" t="inlineStr">
        <is>
          <t>CRON-UT-020</t>
        </is>
      </c>
      <c r="B21" s="12" t="inlineStr">
        <is>
          <t>get_next()/get_prev() 迭代</t>
        </is>
      </c>
      <c r="C21" s="12" t="inlineStr">
        <is>
          <t>边界值:步长 */15 非整点起步(起始 00:01)</t>
        </is>
      </c>
      <c r="D21" s="12" t="inlineStr">
        <is>
          <t>中</t>
        </is>
      </c>
      <c r="E21" s="12" t="inlineStr">
        <is>
          <t>是</t>
        </is>
      </c>
      <c r="F21" s="12" t="inlineStr">
        <is>
          <t>是</t>
        </is>
      </c>
      <c r="G21" s="12" t="inlineStr">
        <is>
          <t>安装 croniter 6.2.2；准备固定输入和基准时间</t>
        </is>
      </c>
      <c r="H21" s="12" t="inlineStr">
        <is>
          <t>expr=*/15 * * * *;start=2024-01-01T00:01:00+00:00</t>
        </is>
      </c>
      <c r="I21" s="12" t="inlineStr">
        <is>
          <t>croniter('*/15 * * * *', datetime.fromisoformat('2024-01-01T00:01:00+00:00')).get_next(datetime)</t>
        </is>
      </c>
      <c r="J21" s="12" t="inlineStr">
        <is>
          <t>datetime.datetime(2024, 1, 1, 0, 15, tzinfo=datetime.timezone.utc)</t>
        </is>
      </c>
      <c r="K21" s="12" t="inlineStr">
        <is>
          <t>datetime.datetime(2024, 1, 1, 0, 15, tzinfo=datetime.timezone.utc)</t>
        </is>
      </c>
      <c r="L21" s="12" t="inlineStr">
        <is>
          <t>OK</t>
        </is>
      </c>
      <c r="M21" s="13" t="inlineStr">
        <is>
          <t>边界值(步长边界)</t>
        </is>
      </c>
    </row>
    <row r="22" ht="75" customHeight="1">
      <c r="A22" s="12" t="inlineStr">
        <is>
          <t>CRON-UT-021</t>
        </is>
      </c>
      <c r="B22" s="12" t="inlineStr">
        <is>
          <t>get_next()/get_prev() 迭代</t>
        </is>
      </c>
      <c r="C22" s="13" t="inlineStr">
        <is>
          <t>边界值:每月 1 号(起始 2024-01-01)</t>
        </is>
      </c>
      <c r="D22" s="12" t="inlineStr">
        <is>
          <t>中</t>
        </is>
      </c>
      <c r="E22" s="12" t="inlineStr">
        <is>
          <t>是</t>
        </is>
      </c>
      <c r="F22" s="12" t="inlineStr">
        <is>
          <t>是</t>
        </is>
      </c>
      <c r="G22" s="12" t="inlineStr">
        <is>
          <t>安装 croniter 6.2.2；准备固定输入和基准时间</t>
        </is>
      </c>
      <c r="H22" s="12" t="inlineStr">
        <is>
          <t>expr=0 0 1 * *;start=2024-01-01T00:00:00+00:00</t>
        </is>
      </c>
      <c r="I22" s="12" t="inlineStr">
        <is>
          <t>croniter('0 0 1 * *', datetime.fromisoformat('2024-01-01T00:00:00+00:00')).get_next(datetime)</t>
        </is>
      </c>
      <c r="J22" s="12" t="inlineStr">
        <is>
          <t>datetime.datetime(2024, 2, 1, 0, 0, tzinfo=datetime.timezone.utc)</t>
        </is>
      </c>
      <c r="K22" s="12" t="inlineStr">
        <is>
          <t>datetime.datetime(2024, 2, 1, 0, 0, tzinfo=datetime.timezone.utc)</t>
        </is>
      </c>
      <c r="L22" s="12" t="inlineStr">
        <is>
          <t>OK</t>
        </is>
      </c>
      <c r="M22" s="13" t="inlineStr">
        <is>
          <t>边界值(月边界)</t>
        </is>
      </c>
    </row>
    <row r="23" ht="75" customHeight="1">
      <c r="A23" s="12" t="inlineStr">
        <is>
          <t>CRON-UT-022</t>
        </is>
      </c>
      <c r="B23" s="12" t="inlineStr">
        <is>
          <t>get_next()/get_prev() 迭代</t>
        </is>
      </c>
      <c r="C23" s="12" t="inlineStr">
        <is>
          <t>边界值:周六迭代(起始周一 01-01,星期边界)</t>
        </is>
      </c>
      <c r="D23" s="12" t="inlineStr">
        <is>
          <t>中</t>
        </is>
      </c>
      <c r="E23" s="12" t="inlineStr">
        <is>
          <t>是</t>
        </is>
      </c>
      <c r="F23" s="12" t="inlineStr">
        <is>
          <t>是</t>
        </is>
      </c>
      <c r="G23" s="13" t="inlineStr">
        <is>
          <t>安装 croniter 6.2.2；准备固定输入和基准时间</t>
        </is>
      </c>
      <c r="H23" s="12" t="inlineStr">
        <is>
          <t>expr=0 0 * * 6;start=2024-01-01T00:00:00+00:00</t>
        </is>
      </c>
      <c r="I23" s="12" t="inlineStr">
        <is>
          <t>croniter('0 0 * * 6', datetime.fromisoformat('2024-01-01T00:00:00+00:00')).get_next(datetime)</t>
        </is>
      </c>
      <c r="J23" s="12" t="inlineStr">
        <is>
          <t>datetime.datetime(2024, 1, 6, 0, 0, tzinfo=datetime.timezone.utc)(01-06 为周六)</t>
        </is>
      </c>
      <c r="K23" s="12" t="inlineStr">
        <is>
          <t>datetime.datetime(2024, 1, 6, 0, 0, tzinfo=datetime.timezone.utc)</t>
        </is>
      </c>
      <c r="L23" s="12" t="inlineStr">
        <is>
          <t>OK</t>
        </is>
      </c>
      <c r="M23" s="13" t="inlineStr">
        <is>
          <t>边界值(星期边界周六)</t>
        </is>
      </c>
    </row>
    <row r="24" ht="84" customHeight="1">
      <c r="A24" s="12" t="inlineStr">
        <is>
          <t>CRON-UT-023</t>
        </is>
      </c>
      <c r="B24" s="12" t="inlineStr">
        <is>
          <t>get_next()/get_prev() 迭代</t>
        </is>
      </c>
      <c r="C24" s="12" t="inlineStr">
        <is>
          <t>边界值:正午 12 点(起始 00:00)</t>
        </is>
      </c>
      <c r="D24" s="12" t="inlineStr">
        <is>
          <t>中</t>
        </is>
      </c>
      <c r="E24" s="12" t="inlineStr">
        <is>
          <t>是</t>
        </is>
      </c>
      <c r="F24" s="12" t="inlineStr">
        <is>
          <t>是</t>
        </is>
      </c>
      <c r="G24" s="12" t="inlineStr">
        <is>
          <t>安装 croniter 6.2.2；准备固定输入和基准时间</t>
        </is>
      </c>
      <c r="H24" s="12" t="inlineStr">
        <is>
          <t>expr=0 12 * * *;start=2024-01-01T00:00:00+00:00</t>
        </is>
      </c>
      <c r="I24" s="12" t="inlineStr">
        <is>
          <t>croniter('0 12 * * *', datetime.fromisoformat('2024-01-01T00:00:00+00:00')).get_next(datetime)</t>
        </is>
      </c>
      <c r="J24" s="12" t="inlineStr">
        <is>
          <t>datetime.datetime(2024, 1, 1, 12, 0, tzinfo=datetime.timezone.utc)</t>
        </is>
      </c>
      <c r="K24" s="12" t="inlineStr">
        <is>
          <t>datetime.datetime(2024, 1, 1, 12, 0, tzinfo=datetime.timezone.utc)</t>
        </is>
      </c>
      <c r="L24" s="12" t="inlineStr">
        <is>
          <t>OK</t>
        </is>
      </c>
      <c r="M24" s="13" t="inlineStr">
        <is>
          <t>边界值(正午边界)</t>
        </is>
      </c>
    </row>
    <row r="25" ht="270" customHeight="1">
      <c r="A25" s="12" t="inlineStr">
        <is>
          <t>CRON-UT-024</t>
        </is>
      </c>
      <c r="B25" s="12" t="inlineStr">
        <is>
          <t>get_next()/get_prev() 迭代</t>
        </is>
      </c>
      <c r="C25" s="12" t="inlineStr">
        <is>
          <t>边界值:跨年(起始除夕 2023-12-31)</t>
        </is>
      </c>
      <c r="D25" s="12" t="inlineStr">
        <is>
          <t>中</t>
        </is>
      </c>
      <c r="E25" s="12" t="inlineStr">
        <is>
          <t>是</t>
        </is>
      </c>
      <c r="F25" s="12" t="inlineStr">
        <is>
          <t>是</t>
        </is>
      </c>
      <c r="G25" s="12" t="inlineStr">
        <is>
          <t>安装 croniter 6.2.2；准备固定输入和基准时间</t>
        </is>
      </c>
      <c r="H25" s="12" t="inlineStr">
        <is>
          <t>expr=0 0 1 1 *;start=2023-12-31T00:00:00+00:00</t>
        </is>
      </c>
      <c r="I25" s="12" t="inlineStr">
        <is>
          <t>croniter('0 0 1 1 *', datetime.fromisoformat('2023-12-31T00:00:00+00:00')).get_next(datetime)</t>
        </is>
      </c>
      <c r="J25" s="12" t="inlineStr">
        <is>
          <t>datetime.datetime(2024, 1, 1, 0, 0, tzinfo=datetime.timezone.utc)</t>
        </is>
      </c>
      <c r="K25" s="12" t="inlineStr">
        <is>
          <t>datetime.datetime(2024, 1, 1, 0, 0, tzinfo=datetime.timezone.utc)</t>
        </is>
      </c>
      <c r="L25" s="12" t="inlineStr">
        <is>
          <t>OK</t>
        </is>
      </c>
      <c r="M25" s="13" t="inlineStr">
        <is>
          <t>边界值(跨年边界)</t>
        </is>
      </c>
    </row>
    <row r="26" ht="270" customHeight="1">
      <c r="A26" s="12" t="inlineStr">
        <is>
          <t>CRON-UT-042</t>
        </is>
      </c>
      <c r="B26" s="12" t="inlineStr">
        <is>
          <t>get_next()/get_prev() 迭代</t>
        </is>
      </c>
      <c r="C26" s="12" t="inlineStr">
        <is>
          <t>边界值:6 段秒级表达式 */30 * * * * * 默认返回 float 时间戳</t>
        </is>
      </c>
      <c r="D26" s="12" t="inlineStr">
        <is>
          <t>中</t>
        </is>
      </c>
      <c r="E26" s="12" t="inlineStr">
        <is>
          <t>是</t>
        </is>
      </c>
      <c r="F26" s="12" t="inlineStr">
        <is>
          <t>是</t>
        </is>
      </c>
      <c r="G26" s="12" t="inlineStr">
        <is>
          <t>安装 croniter 6.2.2；准备固定输入和基准时间</t>
        </is>
      </c>
      <c r="H26" s="12" t="inlineStr">
        <is>
          <t>expr=*/30 * * * * *;start=2024-01-01T00:00:00+00:00</t>
        </is>
      </c>
      <c r="I26" s="12" t="inlineStr">
        <is>
          <t>croniter('*/30 * * * * *', start).get_next()</t>
        </is>
      </c>
      <c r="J26" s="12" t="inlineStr">
        <is>
          <t>float(秒级时间戳,如 1704067201.0)</t>
        </is>
      </c>
      <c r="K26" s="12" t="inlineStr">
        <is>
          <t>float(秒级时间戳,如 1704067201.0)</t>
        </is>
      </c>
      <c r="L26" s="12" t="inlineStr">
        <is>
          <t>OK</t>
        </is>
      </c>
      <c r="M26" s="13" t="inlineStr">
        <is>
          <t>边界值(秒级表达式,返回值类型)</t>
        </is>
      </c>
    </row>
    <row r="27" ht="270" customHeight="1">
      <c r="A27" s="12" t="inlineStr">
        <is>
          <t>CRON-UT-043</t>
        </is>
      </c>
      <c r="B27" s="12" t="inlineStr">
        <is>
          <t>get_next()/get_prev() 迭代</t>
        </is>
      </c>
      <c r="C27" s="12" t="inlineStr">
        <is>
          <t>边界值:夏令时切换日 0 2 * * *(America/New_York,2024-03-09 出发)</t>
        </is>
      </c>
      <c r="D27" s="12" t="inlineStr">
        <is>
          <t>中</t>
        </is>
      </c>
      <c r="E27" s="12" t="inlineStr">
        <is>
          <t>是</t>
        </is>
      </c>
      <c r="F27" s="12" t="inlineStr">
        <is>
          <t>是</t>
        </is>
      </c>
      <c r="G27" s="12" t="inlineStr">
        <is>
          <t>安装 croniter 6.2.2；准备固定输入和基准时间</t>
        </is>
      </c>
      <c r="H27" s="12" t="inlineStr">
        <is>
          <t>expr=0 2 * * *;start=2024-03-09T00:00:00-05:00;tz=America/New_York</t>
        </is>
      </c>
      <c r="I27" s="12" t="inlineStr">
        <is>
          <t>from zoneinfo import ZoneInfo
start = datetime.fromisoformat('2024-03-09T00:00:00-05:00').replace(tzinfo=ZoneInfo('America/New_York'))
croniter('0 2 * * *', start).get_next(datetime)</t>
        </is>
      </c>
      <c r="J27" s="12" t="inlineStr">
        <is>
          <t>datetime.datetime(2024, 3, 9, 2, 0, tzinfo=ZoneInfo('America/New_York'))(切换日前一天,02:00 仍存在)</t>
        </is>
      </c>
      <c r="K27" s="12" t="inlineStr">
        <is>
          <t>datetime.datetime(2024, 3, 9, 2, 0, tzinfo=ZoneInfo('America/New_York'))(切换日前一天,02:00 仍存在)</t>
        </is>
      </c>
      <c r="L27" s="12" t="inlineStr">
        <is>
          <t>OK</t>
        </is>
      </c>
      <c r="M27" s="13" t="inlineStr">
        <is>
          <t>边界值(夏令时/ZoneInfo 时区)</t>
        </is>
      </c>
    </row>
    <row r="28" ht="270" customHeight="1">
      <c r="A28" s="12" t="inlineStr">
        <is>
          <t>CRON-UT-044</t>
        </is>
      </c>
      <c r="B28" s="12" t="inlineStr">
        <is>
          <t>get_next()/get_prev() 迭代</t>
        </is>
      </c>
      <c r="C28" s="12" t="inlineStr">
        <is>
          <t>边界值:非法起始时间类型(object)应抛 TypeError/ValueError</t>
        </is>
      </c>
      <c r="D28" s="12" t="inlineStr">
        <is>
          <t>中</t>
        </is>
      </c>
      <c r="E28" s="12" t="inlineStr">
        <is>
          <t>是</t>
        </is>
      </c>
      <c r="F28" s="12" t="inlineStr">
        <is>
          <t>是</t>
        </is>
      </c>
      <c r="G28" s="12" t="inlineStr">
        <is>
          <t>安装 croniter 6.2.2；准备固定输入和基准时间</t>
        </is>
      </c>
      <c r="H28" s="12" t="inlineStr">
        <is>
          <t>expr=* * * * *;start=object()</t>
        </is>
      </c>
      <c r="I28" s="12" t="inlineStr">
        <is>
          <t>croniter('* * * * *', object()).get_next()</t>
        </is>
      </c>
      <c r="J28" s="12" t="inlineStr">
        <is>
          <t>TypeError 或 ValueError</t>
        </is>
      </c>
      <c r="K28" s="12" t="inlineStr">
        <is>
          <t>TypeError 或 ValueError</t>
        </is>
      </c>
      <c r="L28" s="12" t="inlineStr">
        <is>
          <t>OK</t>
        </is>
      </c>
      <c r="M28" s="13" t="inlineStr">
        <is>
          <t>异常测试(非法输入类型)</t>
        </is>
      </c>
    </row>
    <row r="29" ht="219" customHeight="1">
      <c r="A29" s="12" t="inlineStr">
        <is>
          <t>CRON-UT-025</t>
        </is>
      </c>
      <c r="B29" s="13" t="inlineStr">
        <is>
          <t>连续迭代场景:get_next()/get_prev()</t>
        </is>
      </c>
      <c r="C29" s="13" t="inlineStr">
        <is>
          <t>场景:连续两次迭代间隔恰为 10 分钟且 get_prev 早于起点</t>
        </is>
      </c>
      <c r="D29" s="12" t="inlineStr">
        <is>
          <t>低</t>
        </is>
      </c>
      <c r="E29" s="12" t="inlineStr">
        <is>
          <t>是</t>
        </is>
      </c>
      <c r="F29" s="12" t="inlineStr">
        <is>
          <t>是</t>
        </is>
      </c>
      <c r="G29" s="12" t="inlineStr">
        <is>
          <t>安装 croniter 6.2.2；准备固定输入和基准时间</t>
        </is>
      </c>
      <c r="H29" s="12" t="inlineStr">
        <is>
          <t>expr=*/10 * * * *;start=2024-01-15T12:00:00+00:00</t>
        </is>
      </c>
      <c r="I29" s="12" t="inlineStr">
        <is>
          <t>s = datetime.fromisoformat('2024-01-15T12:00:00+00:00')
it = croniter('*/10 * * * *', s)
a, b = it.get_next(datetime), it.get_next(datetime)
a, b, b - a
croniter('*/10 * * * *', s).get_prev(datetime)</t>
        </is>
      </c>
      <c r="J29" s="12" t="inlineStr">
        <is>
          <t>(datetime.datetime(2024, 1, 15, 12, 10, tzinfo=datetime.timezone.utc), datetime.datetime(2024, 1, 15, 12, 20, tzinfo=datetime.timezone.utc), datetime.timedelta(seconds=600))
datetime.datetime(2024, 1, 15, 11, 50, fold=1, tzinfo=datetime.timezone.utc)</t>
        </is>
      </c>
      <c r="K29" s="12" t="inlineStr">
        <is>
          <t>(datetime.datetime(2024, 1, 15, 12, 10, tzinfo=datetime.timezone.utc), datetime.datetime(2024, 1, 15, 12, 20, tzinfo=datetime.timezone.utc), datetime.timedelta(seconds=600))
datetime.datetime(2024, 1, 15, 11, 50, fold=1, tzinfo=datetime.timezone.utc)</t>
        </is>
      </c>
      <c r="L29" s="12" t="inlineStr">
        <is>
          <t>OK</t>
        </is>
      </c>
      <c r="M29" s="13" t="inlineStr">
        <is>
          <t>场景法(连续迭代状态)</t>
        </is>
      </c>
    </row>
    <row r="30" ht="270" customHeight="1">
      <c r="A30" s="12" t="inlineStr">
        <is>
          <t>CRON-UT-033</t>
        </is>
      </c>
      <c r="B30" s="13" t="inlineStr">
        <is>
          <t>croniter() 解析</t>
        </is>
      </c>
      <c r="C30" s="13" t="inlineStr">
        <is>
          <t>零步长范围 0 0 * * 5-5/0 应抛出标准 CroniterBadCronError</t>
        </is>
      </c>
      <c r="D30" s="12" t="inlineStr">
        <is>
          <t>高</t>
        </is>
      </c>
      <c r="E30" s="12" t="inlineStr">
        <is>
          <t>是</t>
        </is>
      </c>
      <c r="F30" s="12" t="inlineStr">
        <is>
          <t>是</t>
        </is>
      </c>
      <c r="G30" s="12" t="inlineStr">
        <is>
          <t>安装 croniter 6.2.2；准备固定输入和基准时间</t>
        </is>
      </c>
      <c r="H30" s="12" t="inlineStr">
        <is>
          <t>expr=0 0 * * 5-5/0(零步长范围);start=2024-01-01T00:00:00+00:00</t>
        </is>
      </c>
      <c r="I30" s="12" t="inlineStr">
        <is>
          <t>try:
    croniter('0 0 * * 5-5/0', datetime.fromisoformat('2024-01-01T00:00:00+00:00'))
    print('未抛异常，该用例失败')
except CroniterBadCronError as e:
    print('CroniterBadCronError:', e)
except ValueError as e:
    print('ValueError:', e)</t>
        </is>
      </c>
      <c r="J30" s="12" t="inlineStr">
        <is>
          <t>CroniterBadCronError: [0 0 * * 5-5/0] step must be greater than zero</t>
        </is>
      </c>
      <c r="K30" s="12" t="inlineStr">
        <is>
          <t>ValueError: range() arg 3 must not be zero</t>
        </is>
      </c>
      <c r="L30" s="12" t="inlineStr">
        <is>
          <t>FAIL</t>
        </is>
      </c>
      <c r="M30" s="13" t="inlineStr">
        <is>
          <t>等价类(非法表达式类,星期字段零步长)；基线 6.2.2 抛裸 ValueError:range() arg 3 must not be zero,不属于 CroniterError 家族</t>
        </is>
      </c>
    </row>
    <row r="31" ht="194" customHeight="1">
      <c r="A31" s="12" t="inlineStr">
        <is>
          <t>CRON-UT-034</t>
        </is>
      </c>
      <c r="B31" s="13" t="inlineStr">
        <is>
          <t>get_next()/get_prev() 迭代</t>
        </is>
      </c>
      <c r="C31" s="13" t="inlineStr">
        <is>
          <t>边界值:expand_from_start_time 月份步进低界 0 0 1 */2 *(CRON-D-002,issue #235)</t>
        </is>
      </c>
      <c r="D31" s="12" t="inlineStr">
        <is>
          <t>高</t>
        </is>
      </c>
      <c r="E31" s="12" t="inlineStr">
        <is>
          <t>是</t>
        </is>
      </c>
      <c r="F31" s="12" t="inlineStr">
        <is>
          <t>是</t>
        </is>
      </c>
      <c r="G31" s="12" t="inlineStr">
        <is>
          <t>安装 croniter 6.2.2；准备固定输入和基准时间</t>
        </is>
      </c>
      <c r="H31" s="12" t="inlineStr">
        <is>
          <t>expr=0 0 1 */2 *;start=2024-02-01T00:00:00+00:00;expand_from_start_time=True</t>
        </is>
      </c>
      <c r="I31" s="12" t="inlineStr">
        <is>
          <t>it = croniter('0 0 1 */2 *', datetime.fromisoformat('2024-02-01T00:00:00+00:00'), expand_from_start_time=True)
it.get_next(datetime)</t>
        </is>
      </c>
      <c r="J31" s="12" t="inlineStr">
        <is>
          <t>datetime.datetime(2024, 4, 1, 0, 0, tzinfo=datetime.timezone.utc)(expand 下首次触发;完整序列 2024-04-01、06-01、08-01、10-01)</t>
        </is>
      </c>
      <c r="K31" s="12" t="inlineStr">
        <is>
          <t>CroniterBadCronError: [0 0 1 */2 *] is not acceptable, out of range</t>
        </is>
      </c>
      <c r="L31" s="12" t="inlineStr">
        <is>
          <t>FAIL</t>
        </is>
      </c>
      <c r="M31" s="13" t="inlineStr">
        <is>
          <t>边界值(月份步进低界,expand_from_start_time=True)基线 6.2.2 从 2024-02-01 出发直接报 CroniterBadCronError out of range(月份低界余数为 0 时得到非法月份 0);修复后正常返回 04-01 起</t>
        </is>
      </c>
    </row>
    <row r="32" ht="278" customHeight="1">
      <c r="A32" s="12" t="inlineStr">
        <is>
          <t>CRON-UT-035</t>
        </is>
      </c>
      <c r="B32" s="13" t="inlineStr">
        <is>
          <t>get_next()/get_prev() 迭代</t>
        </is>
      </c>
      <c r="C32" s="12" t="inlineStr">
        <is>
          <t>边界值:Sunday 步进低界 0 0 * * 1-7/2(CRON-D-003,issue #239)</t>
        </is>
      </c>
      <c r="D32" s="12" t="inlineStr">
        <is>
          <t>高</t>
        </is>
      </c>
      <c r="E32" s="12" t="inlineStr">
        <is>
          <t>是</t>
        </is>
      </c>
      <c r="F32" s="12" t="inlineStr">
        <is>
          <t>是</t>
        </is>
      </c>
      <c r="G32" s="12" t="inlineStr">
        <is>
          <t>安装 croniter 6.2.2；准备固定输入和基准时间</t>
        </is>
      </c>
      <c r="H32" s="12" t="inlineStr">
        <is>
          <t>expr=0 0 * * 1-7/2;start=2024-01-07T00:00:00+00:00(周日);expand_from_start_time=True</t>
        </is>
      </c>
      <c r="I32" s="12" t="inlineStr">
        <is>
          <t>it = croniter('0 0 * * 1-7/2', datetime.fromisoformat('2024-01-07T00:00:00+00:00'), expand_from_start_time=True)
it.get_next(datetime)</t>
        </is>
      </c>
      <c r="J32" s="12" t="inlineStr">
        <is>
          <t>datetime.datetime(2024, 1, 9, 0, 0, tzinfo=datetime.timezone.utc)(expand 下首次触发;完整序列 01-09、01-11、01-13、01-14)</t>
        </is>
      </c>
      <c r="K32" s="12" t="inlineStr">
        <is>
          <t>datetime.datetime(2024, 1, 8, 0, 0, tzinfo=datetime.timezone.utc)(expand 下首次触发;完整序列 01-08、01-10、01-12、01-14)</t>
        </is>
      </c>
      <c r="L32" s="12" t="inlineStr">
        <is>
          <t>FAIL</t>
        </is>
      </c>
      <c r="M32" s="13" t="inlineStr">
        <is>
          <t>边界值(周日步进低界,expand_from_start_time=True)基线 6.2.2 从周日出发返回 01-08、01-10、01-12(相位错位一天,weekday()+1 将 Sunday 映射为 7 而非 0);修复后返回 01-09 起</t>
        </is>
      </c>
    </row>
    <row r="33" ht="210" customHeight="1">
      <c r="A33" s="12" t="inlineStr">
        <is>
          <t>CRON-UT-037</t>
        </is>
      </c>
      <c r="B33" s="13" t="inlineStr">
        <is>
          <t>连续迭代场景:get_next()/get_prev()</t>
        </is>
      </c>
      <c r="C33" s="13" t="inlineStr">
        <is>
          <t>场景:步长范围 5-59/10 连续两次结果恰为 10 分钟且 get_prev 有效</t>
        </is>
      </c>
      <c r="D33" s="12" t="inlineStr">
        <is>
          <t>低</t>
        </is>
      </c>
      <c r="E33" s="12" t="inlineStr">
        <is>
          <t>是</t>
        </is>
      </c>
      <c r="F33" s="12" t="inlineStr">
        <is>
          <t>是</t>
        </is>
      </c>
      <c r="G33" s="12" t="inlineStr">
        <is>
          <t>安装 croniter 6.2.2；准备固定输入和基准时间</t>
        </is>
      </c>
      <c r="H33" s="12" t="inlineStr">
        <is>
          <t>expr=5-59/10 * * * *;start=2024-01-15T12:00:00+00:00</t>
        </is>
      </c>
      <c r="I33" s="12" t="inlineStr">
        <is>
          <t>s = datetime.fromisoformat('2024-01-15T12:00:00+00:00')
it = croniter('5-59/10 * * * *', s)
a, b = it.get_next(datetime), it.get_next(datetime)
a, b, b - a
croniter('5-59/10 * * * *', s).get_prev(datetime)</t>
        </is>
      </c>
      <c r="J33" s="12" t="inlineStr">
        <is>
          <t>(datetime.datetime(2024, 1, 15, 12, 5, tzinfo=datetime.timezone.utc), datetime.datetime(2024, 1, 15, 12, 15, tzinfo=datetime.timezone.utc), datetime.timedelta(seconds=600))</t>
        </is>
      </c>
      <c r="K33" s="12" t="inlineStr">
        <is>
          <t>(datetime.datetime(2024, 1, 15, 12, 5, tzinfo=datetime.timezone.utc), datetime.datetime(2024, 1, 15, 12, 15, tzinfo=datetime.timezone.utc), datetime.timedelta(seconds=600))</t>
        </is>
      </c>
      <c r="L33" s="12" t="inlineStr">
        <is>
          <t>OK</t>
        </is>
      </c>
      <c r="M33" s="13" t="inlineStr">
        <is>
          <t>场景法(步长范围)</t>
        </is>
      </c>
    </row>
    <row r="34" ht="225" customHeight="1">
      <c r="A34" s="12" t="inlineStr">
        <is>
          <t>CRON-UT-038</t>
        </is>
      </c>
      <c r="B34" s="13" t="inlineStr">
        <is>
          <t>连续迭代场景:get_next()/get_prev()</t>
        </is>
      </c>
      <c r="C34" s="13" t="inlineStr">
        <is>
          <t>场景:枚举列表 0,10,20,30,40,50 连续两次结果恰为 10 分钟且 get_prev 有效</t>
        </is>
      </c>
      <c r="D34" s="12" t="inlineStr">
        <is>
          <t>低</t>
        </is>
      </c>
      <c r="E34" s="12" t="inlineStr">
        <is>
          <t>是</t>
        </is>
      </c>
      <c r="F34" s="12" t="inlineStr">
        <is>
          <t>是</t>
        </is>
      </c>
      <c r="G34" s="12" t="inlineStr">
        <is>
          <t>安装 croniter 6.2.2；准备固定输入和基准时间</t>
        </is>
      </c>
      <c r="H34" s="12" t="inlineStr">
        <is>
          <t>expr=0,10,20,30,40,50 * * * *;start=2024-01-15T12:00:00+00:00</t>
        </is>
      </c>
      <c r="I34" s="12" t="inlineStr">
        <is>
          <t>s = datetime.fromisoformat('2024-01-15T12:00:00+00:00')
it = croniter('0,10,20,30,40,50 * * * *', s)
a, b = it.get_next(datetime), it.get_next(datetime)
a, b, b - a
croniter('0,10,20,30,40,50 * * * *', s).get_prev(datetime)</t>
        </is>
      </c>
      <c r="J34" s="12" t="inlineStr">
        <is>
          <t>(datetime.datetime(2024, 1, 15, 12, 10, tzinfo=datetime.timezone.utc), datetime.datetime(2024, 1, 15, 12, 20, tzinfo=datetime.timezone.utc), datetime.timedelta(seconds=600))</t>
        </is>
      </c>
      <c r="K34" s="12" t="inlineStr">
        <is>
          <t>(datetime.datetime(2024, 1, 15, 12, 10, tzinfo=datetime.timezone.utc), datetime.datetime(2024, 1, 15, 12, 20, tzinfo=datetime.timezone.utc), datetime.timedelta(seconds=600))</t>
        </is>
      </c>
      <c r="L34" s="12" t="inlineStr">
        <is>
          <t>OK</t>
        </is>
      </c>
      <c r="M34" s="13" t="inlineStr">
        <is>
          <t>场景法(枚举列表)</t>
        </is>
      </c>
    </row>
    <row r="35" ht="210" customHeight="1">
      <c r="A35" s="12" t="inlineStr">
        <is>
          <t>CRON-UT-039</t>
        </is>
      </c>
      <c r="B35" s="13" t="inlineStr">
        <is>
          <t>连续迭代场景:get_next()/get_prev()</t>
        </is>
      </c>
      <c r="C35" s="13" t="inlineStr">
        <is>
          <t>场景:跨日跨月 */10 从 06-30T23:50 出发连续两次结果恰为 10 分钟且 get_prev 有效</t>
        </is>
      </c>
      <c r="D35" s="12" t="inlineStr">
        <is>
          <t>低</t>
        </is>
      </c>
      <c r="E35" s="12" t="inlineStr">
        <is>
          <t>是</t>
        </is>
      </c>
      <c r="F35" s="12" t="inlineStr">
        <is>
          <t>是</t>
        </is>
      </c>
      <c r="G35" s="12" t="inlineStr">
        <is>
          <t>安装 croniter 6.2.2；准备固定输入和基准时间</t>
        </is>
      </c>
      <c r="H35" s="12" t="inlineStr">
        <is>
          <t>expr=*/10 * * * *;start=2024-06-30T23:50:00+00:00</t>
        </is>
      </c>
      <c r="I35" s="12" t="inlineStr">
        <is>
          <t>s = datetime.fromisoformat('2024-06-30T23:50:00+00:00')
it = croniter('*/10 * * * *', s)
a, b = it.get_next(datetime), it.get_next(datetime)
a, b, b - a
croniter('*/10 * * * *', s).get_prev(datetime)</t>
        </is>
      </c>
      <c r="J35" s="12" t="inlineStr">
        <is>
          <t>(datetime.datetime(2024, 7, 1, 0, 0, tzinfo=datetime.timezone.utc), datetime.datetime(2024, 7, 1, 0, 10, tzinfo=datetime.timezone.utc), datetime.timedelta(seconds=600))</t>
        </is>
      </c>
      <c r="K35" s="12" t="inlineStr">
        <is>
          <t>(datetime.datetime(2024, 7, 1, 0, 0, tzinfo=datetime.timezone.utc), datetime.datetime(2024, 7, 1, 0, 10, tzinfo=datetime.timezone.utc), datetime.timedelta(seconds=600))</t>
        </is>
      </c>
      <c r="L35" s="12" t="inlineStr">
        <is>
          <t>OK</t>
        </is>
      </c>
      <c r="M35" s="13" t="inlineStr">
        <is>
          <t>场景法(跨日跨月)</t>
        </is>
      </c>
      <c r="O35" s="1" t="n"/>
    </row>
    <row r="36" ht="270" customHeight="1">
      <c r="A36" s="12" t="inlineStr">
        <is>
          <t>CRON-UT-040</t>
        </is>
      </c>
      <c r="B36" s="13" t="inlineStr">
        <is>
          <t>连续迭代场景:get_next()/get_prev()</t>
        </is>
      </c>
      <c r="C36" s="13" t="inlineStr">
        <is>
          <t>场景:时区偏移 +09:00 */10 连续两次结果恰为 10 分钟且 get_prev 有效</t>
        </is>
      </c>
      <c r="D36" s="12" t="inlineStr">
        <is>
          <t>低</t>
        </is>
      </c>
      <c r="E36" s="12" t="inlineStr">
        <is>
          <t>是</t>
        </is>
      </c>
      <c r="F36" s="12" t="inlineStr">
        <is>
          <t>是</t>
        </is>
      </c>
      <c r="G36" s="12" t="inlineStr">
        <is>
          <t>安装 croniter 6.2.2；准备固定输入和基准时间</t>
        </is>
      </c>
      <c r="H36" s="12" t="inlineStr">
        <is>
          <t>expr=*/10 * * * *;start=2024-08-01T00:05:00+09:00</t>
        </is>
      </c>
      <c r="I36" s="12" t="inlineStr">
        <is>
          <t>s = datetime.fromisoformat('2024-08-01T00:05:00+09:00')
it = croniter('*/10 * * * *', s)
a, b = it.get_next(datetime), it.get_next(datetime)
a, b, b - a
croniter('*/10 * * * *', s).get_prev(datetime)</t>
        </is>
      </c>
      <c r="J36" s="12" t="inlineStr">
        <is>
          <t>(datetime.datetime(2024, 8, 1, 0, 10, tzinfo=datetime.timezone(datetime.timedelta(seconds=32400))), datetime.datetime(2024, 8, 1, 0, 20, tzinfo=datetime.timezone(datetime.timedelta(seconds=32400))), datetime.timedelta(seconds=600))</t>
        </is>
      </c>
      <c r="K36" s="12" t="inlineStr">
        <is>
          <t>(datetime.datetime(2024, 8, 1, 0, 10, tzinfo=datetime.timezone(datetime.timedelta(seconds=32400))), datetime.datetime(2024, 8, 1, 0, 20, tzinfo=datetime.timezone(datetime.timedelta(seconds=32400))), datetime.timedelta(seconds=600))</t>
        </is>
      </c>
      <c r="L36" s="12" t="inlineStr">
        <is>
          <t>OK</t>
        </is>
      </c>
      <c r="M36" s="13" t="inlineStr">
        <is>
          <t>场景法(时区偏移)</t>
        </is>
      </c>
      <c r="O36" s="1" t="n"/>
    </row>
    <row r="37" ht="67.5" customHeight="1">
      <c r="A37" s="12" t="inlineStr">
        <is>
          <t>CRON-UT-045</t>
        </is>
      </c>
      <c r="B37" s="13" t="inlineStr">
        <is>
          <t>匹配与范围校验:match/match_range/croniter_range/is_valid</t>
        </is>
      </c>
      <c r="C37" s="13" t="inlineStr">
        <is>
          <t>match:整点时刻 0 0 * * * 在 00:00 命中</t>
        </is>
      </c>
      <c r="D37" s="12" t="inlineStr">
        <is>
          <t>低</t>
        </is>
      </c>
      <c r="E37" s="12" t="inlineStr">
        <is>
          <t>是</t>
        </is>
      </c>
      <c r="F37" s="12" t="inlineStr">
        <is>
          <t>是</t>
        </is>
      </c>
      <c r="G37" s="12" t="inlineStr">
        <is>
          <t>安装 croniter 6.2.2；准备固定输入和基准时间</t>
        </is>
      </c>
      <c r="H37" s="12" t="inlineStr">
        <is>
          <t>expr=0 0 * * *;start=2024-01-01T00:00:00+00:00</t>
        </is>
      </c>
      <c r="I37" s="12" t="inlineStr">
        <is>
          <t>croniter.match('0 0 * * *', start)</t>
        </is>
      </c>
      <c r="J37" s="12" t="inlineStr">
        <is>
          <t>True(该时刻符合规则)</t>
        </is>
      </c>
      <c r="K37" s="12" t="inlineStr">
        <is>
          <t>True(该时刻符合规则)</t>
        </is>
      </c>
      <c r="L37" s="12" t="inlineStr">
        <is>
          <t>OK</t>
        </is>
      </c>
      <c r="M37" s="13" t="inlineStr">
        <is>
          <t>等价类(时刻命中类)</t>
        </is>
      </c>
    </row>
    <row r="38" ht="67.5" customHeight="1">
      <c r="A38" s="12" t="inlineStr">
        <is>
          <t>CRON-UT-046</t>
        </is>
      </c>
      <c r="B38" s="13" t="inlineStr">
        <is>
          <t>匹配与范围校验:match/match_range/croniter_range/is_valid</t>
        </is>
      </c>
      <c r="C38" s="13" t="inlineStr">
        <is>
          <t>match:整点时刻 0 0 * * * 在 00:01 未命中</t>
        </is>
      </c>
      <c r="D38" s="12" t="inlineStr">
        <is>
          <t>低</t>
        </is>
      </c>
      <c r="E38" s="12" t="inlineStr">
        <is>
          <t>是</t>
        </is>
      </c>
      <c r="F38" s="12" t="inlineStr">
        <is>
          <t>是</t>
        </is>
      </c>
      <c r="G38" s="12" t="inlineStr">
        <is>
          <t>安装 croniter 6.2.2；准备固定输入和基准时间</t>
        </is>
      </c>
      <c r="H38" s="12" t="inlineStr">
        <is>
          <t>expr=0 0 * * *;start=2024-01-01T00:01:00+00:00</t>
        </is>
      </c>
      <c r="I38" s="12" t="inlineStr">
        <is>
          <t>croniter.match('0 0 * * *', start)</t>
        </is>
      </c>
      <c r="J38" s="12" t="inlineStr">
        <is>
          <t>False(该时刻不符合规则)</t>
        </is>
      </c>
      <c r="K38" s="12" t="inlineStr">
        <is>
          <t>False(该时刻不符合规则)</t>
        </is>
      </c>
      <c r="L38" s="12" t="inlineStr">
        <is>
          <t>OK</t>
        </is>
      </c>
      <c r="M38" s="13" t="inlineStr">
        <is>
          <t>等价类(时刻未命中类)</t>
        </is>
      </c>
      <c r="O38" s="1" t="n"/>
    </row>
    <row r="39" ht="75" customHeight="1">
      <c r="A39" s="12" t="inlineStr">
        <is>
          <t>CRON-UT-047</t>
        </is>
      </c>
      <c r="B39" s="13" t="inlineStr">
        <is>
          <t>匹配与范围校验:match/match_range/croniter_range/is_valid</t>
        </is>
      </c>
      <c r="C39" s="13" t="inlineStr">
        <is>
          <t>match_range:一天窗口内存在整点触发点</t>
        </is>
      </c>
      <c r="D39" s="12" t="inlineStr">
        <is>
          <t>低</t>
        </is>
      </c>
      <c r="E39" s="12" t="inlineStr">
        <is>
          <t>是</t>
        </is>
      </c>
      <c r="F39" s="12" t="inlineStr">
        <is>
          <t>是</t>
        </is>
      </c>
      <c r="G39" s="12" t="inlineStr">
        <is>
          <t>安装 croniter 6.2.2；准备固定输入和基准时间</t>
        </is>
      </c>
      <c r="H39" s="12" t="inlineStr">
        <is>
          <t>expr=0 0 * * *;start=2024-01-01T00:00:00+00:00;end=2024-01-02T00:00:00+00:00</t>
        </is>
      </c>
      <c r="I39" s="12" t="inlineStr">
        <is>
          <t>croniter.match_range('0 0 * * *', start, end)</t>
        </is>
      </c>
      <c r="J39" s="12" t="inlineStr">
        <is>
          <t>True(窗口内存在触发点)</t>
        </is>
      </c>
      <c r="K39" s="12" t="inlineStr">
        <is>
          <t>True(窗口内存在触发点)</t>
        </is>
      </c>
      <c r="L39" s="12" t="inlineStr">
        <is>
          <t>OK</t>
        </is>
      </c>
      <c r="M39" s="13" t="inlineStr">
        <is>
          <t>等价类(窗口含触发点类)</t>
        </is>
      </c>
    </row>
    <row r="40" ht="75" customHeight="1">
      <c r="A40" s="12" t="inlineStr">
        <is>
          <t>CRON-UT-048</t>
        </is>
      </c>
      <c r="B40" s="13" t="inlineStr">
        <is>
          <t>匹配与范围校验:match/match_range/croniter_range/is_valid</t>
        </is>
      </c>
      <c r="C40" s="13" t="inlineStr">
        <is>
          <t>match_range:半小时窗口内不存在 01:00 触发点</t>
        </is>
      </c>
      <c r="D40" s="12" t="inlineStr">
        <is>
          <t>低</t>
        </is>
      </c>
      <c r="E40" s="12" t="inlineStr">
        <is>
          <t>是</t>
        </is>
      </c>
      <c r="F40" s="12" t="inlineStr">
        <is>
          <t>是</t>
        </is>
      </c>
      <c r="G40" s="12" t="inlineStr">
        <is>
          <t>安装 croniter 6.2.2；准备固定输入和基准时间</t>
        </is>
      </c>
      <c r="H40" s="12" t="inlineStr">
        <is>
          <t>expr=0 1 * * *;start=2024-01-01T00:00:00+00:00;end=2024-01-01T00:30:00+00:00</t>
        </is>
      </c>
      <c r="I40" s="12" t="inlineStr">
        <is>
          <t>croniter.match_range('0 1 * * *', start, end)</t>
        </is>
      </c>
      <c r="J40" s="12" t="inlineStr">
        <is>
          <t>False(窗口内不存在触发点)</t>
        </is>
      </c>
      <c r="K40" s="12" t="inlineStr">
        <is>
          <t>False(窗口内不存在触发点)</t>
        </is>
      </c>
      <c r="L40" s="12" t="inlineStr">
        <is>
          <t>OK</t>
        </is>
      </c>
      <c r="M40" s="13" t="inlineStr">
        <is>
          <t>等价类(窗口不含触发点类)</t>
        </is>
      </c>
    </row>
    <row r="41" ht="67.5" customHeight="1">
      <c r="A41" s="12" t="inlineStr">
        <is>
          <t>CRON-UT-049</t>
        </is>
      </c>
      <c r="B41" s="13" t="inlineStr">
        <is>
          <t>匹配与范围校验:match/match_range/croniter_range/is_valid</t>
        </is>
      </c>
      <c r="C41" s="13" t="inlineStr">
        <is>
          <t>is_valid:6 段秒级表达式 0 0 0 1 1 *(second_at_beginning=True)合法</t>
        </is>
      </c>
      <c r="D41" s="12" t="inlineStr">
        <is>
          <t>低</t>
        </is>
      </c>
      <c r="E41" s="12" t="inlineStr">
        <is>
          <t>是</t>
        </is>
      </c>
      <c r="F41" s="12" t="inlineStr">
        <is>
          <t>是</t>
        </is>
      </c>
      <c r="G41" s="12" t="inlineStr">
        <is>
          <t>安装 croniter 6.2.2；准备固定输入和基准时间</t>
        </is>
      </c>
      <c r="H41" s="12" t="inlineStr">
        <is>
          <t>expr=0 0 0 1 1 *;second_at_beginning=True</t>
        </is>
      </c>
      <c r="I41" s="12" t="inlineStr">
        <is>
          <t>croniter.is_valid('0 0 0 1 1 *', second_at_beginning=True)</t>
        </is>
      </c>
      <c r="J41" s="12" t="inlineStr">
        <is>
          <t>True(表达式合法)</t>
        </is>
      </c>
      <c r="K41" s="12" t="inlineStr">
        <is>
          <t>True(表达式合法)</t>
        </is>
      </c>
      <c r="L41" s="12" t="inlineStr">
        <is>
          <t>OK</t>
        </is>
      </c>
      <c r="M41" s="13" t="inlineStr">
        <is>
          <t>等价类(合法表达式类,秒级)</t>
        </is>
      </c>
    </row>
    <row r="42" ht="75" customHeight="1">
      <c r="A42" s="12" t="inlineStr">
        <is>
          <t>CRON-UT-050</t>
        </is>
      </c>
      <c r="B42" s="13" t="inlineStr">
        <is>
          <t>匹配与范围校验:match/match_range/croniter_range/is_valid</t>
        </is>
      </c>
      <c r="C42" s="13" t="inlineStr">
        <is>
          <t>croniter_range:3 分钟窗口内触发点个数为 4</t>
        </is>
      </c>
      <c r="D42" s="12" t="inlineStr">
        <is>
          <t>低</t>
        </is>
      </c>
      <c r="E42" s="12" t="inlineStr">
        <is>
          <t>是</t>
        </is>
      </c>
      <c r="F42" s="12" t="inlineStr">
        <is>
          <t>是</t>
        </is>
      </c>
      <c r="G42" s="12" t="inlineStr">
        <is>
          <t>安装 croniter 6.2.2；准备固定输入和基准时间</t>
        </is>
      </c>
      <c r="H42" s="12" t="inlineStr">
        <is>
          <t>expr=* * * * *;start=2024-01-01T00:00:00+00:00;end=2024-01-01T00:03:00+00:00</t>
        </is>
      </c>
      <c r="I42" s="12" t="inlineStr">
        <is>
          <t>list(croniter_range(start, end, '* * * * *'))</t>
        </is>
      </c>
      <c r="J42" s="12" t="inlineStr">
        <is>
          <t>len == 4(00:00、00:01、00:02、00:03)</t>
        </is>
      </c>
      <c r="K42" s="12" t="inlineStr">
        <is>
          <t>len == 4(00:00、00:01、00:02、00:03)</t>
        </is>
      </c>
      <c r="L42" s="12" t="inlineStr">
        <is>
          <t>OK</t>
        </is>
      </c>
      <c r="M42" s="13" t="inlineStr">
        <is>
          <t>场景法(窗口内连续触发序列)</t>
        </is>
      </c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3" t="n"/>
      <c r="K47" s="12" t="n"/>
      <c r="L47" s="12" t="n"/>
      <c r="M47" s="12" t="n"/>
    </row>
  </sheetData>
  <dataValidations count="3">
    <dataValidation sqref="K2" showDropDown="0" showInputMessage="0" showErrorMessage="1" allowBlank="1" errorTitle="Warning" error="Invalide Data"/>
    <dataValidation sqref="L2:L28 L30:L32 L38:L12389" showDropDown="0" showInputMessage="1" showErrorMessage="1" allowBlank="1" type="list">
      <formula1>Result</formula1>
    </dataValidation>
    <dataValidation sqref="L12390:L65536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11.6296296296296" defaultRowHeight="14.25"/>
  <cols>
    <col width="4.62962962962963" customWidth="1" style="1" min="1" max="1"/>
    <col width="67.6296296296296" customWidth="1" style="1" min="2" max="2"/>
    <col width="11.6296296296296" customWidth="1" style="1" min="3" max="16384"/>
  </cols>
  <sheetData>
    <row r="1" ht="15.75" customHeight="1">
      <c r="A1" s="2" t="inlineStr">
        <is>
          <t>Introduction 使用说明</t>
        </is>
      </c>
      <c r="B1" s="2" t="n"/>
      <c r="C1" s="3" t="n"/>
    </row>
    <row r="2" ht="30" customHeight="1">
      <c r="A2" s="4" t="n">
        <v>1</v>
      </c>
      <c r="B2" s="5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3" t="n"/>
    </row>
    <row r="3" ht="15" customHeight="1">
      <c r="A3" s="4" t="n">
        <v>2</v>
      </c>
      <c r="B3" s="5" t="inlineStr">
        <is>
          <t>The test cases can be multilevel. 本测试用例模板支持分层。</t>
        </is>
      </c>
      <c r="C3" s="3" t="n"/>
    </row>
    <row r="4" ht="45" customHeight="1">
      <c r="A4" s="4" t="n">
        <v>3</v>
      </c>
      <c r="B4" s="5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3" t="n"/>
    </row>
    <row r="5" ht="28.5" customHeight="1">
      <c r="A5" s="4" t="n">
        <v>4</v>
      </c>
      <c r="B5" s="5" t="inlineStr">
        <is>
          <t>The number of test cases is low level test cases' number, it is automatic calculate. 测试用例的统计使用小测试用例统计，自动统计。</t>
        </is>
      </c>
      <c r="C5" s="3" t="n"/>
    </row>
    <row r="6" ht="33" customHeight="1">
      <c r="A6" s="4" t="n">
        <v>5</v>
      </c>
      <c r="B6" s="5" t="inlineStr">
        <is>
          <t>The Test Case Form should not use as test record. 本测试用例表单不能作为测试记录使用。</t>
        </is>
      </c>
      <c r="C6" s="3" t="n"/>
    </row>
    <row r="7" ht="45" customHeight="1">
      <c r="A7" s="4" t="n">
        <v>6</v>
      </c>
      <c r="B7" s="5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3" t="n"/>
    </row>
    <row r="8" ht="30" customHeight="1">
      <c r="A8" s="4" t="n">
        <v>7</v>
      </c>
      <c r="B8" s="5" t="inlineStr">
        <is>
          <t>Test Criticality重要级别定义为：Specify High/Medium/Low.描述测试用例的重要级别：高/中/低.</t>
        </is>
      </c>
      <c r="C8" s="3" t="n"/>
    </row>
    <row r="9" ht="15" customHeight="1">
      <c r="A9" s="6" t="n">
        <v>8</v>
      </c>
      <c r="B9" s="7" t="inlineStr">
        <is>
          <t>Output 预期输出：Provide the expected result after performing the test提供测试执行的预期结果</t>
        </is>
      </c>
      <c r="C9" s="3" t="n"/>
    </row>
    <row r="10" ht="73.5" customHeight="1">
      <c r="A10" s="6" t="n">
        <v>9</v>
      </c>
      <c r="B10" s="7" t="inlineStr">
        <is>
          <t>Result 实际输出:Provide the result after performing the test提供测试结果
OK:测试通过
POK:部分通过
NG:不能通过
NT:测试用例错误,测试无法执行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2026-09-08T14:20:00Z</dcterms:created>
  <dcterms:modified xsi:type="dcterms:W3CDTF">2026-09-10T14:02:52Z</dcterms:modified>
  <cp:lastModifiedBy>我吃火龙果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229E7F9FB71D4F8EBE5E221030613F72_12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