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202680713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e91373b6c3d74a92"/>
    <x:sheet xmlns:r="http://schemas.openxmlformats.org/officeDocument/2006/relationships" name="Test Cases测试用例" sheetId="2" r:id="R3c7c3a5239dd427b"/>
    <x:sheet xmlns:r="http://schemas.openxmlformats.org/officeDocument/2006/relationships" name="Introduction使用说明" sheetId="3" r:id="Rad532dfc04ca4780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<x:sst xmlns:x="http://schemas.openxmlformats.org/spreadsheetml/2006/main">
  <x:si>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t xml:space="preserve">Test  Case Form </x:t>
    </x:r>
    <x:r>
      <x:rPr>
        <x:b/>
        <x:sz val="18"/>
        <x:rFont val="宋体"/>
        <x:family val="3"/>
      </x:rPr>
      <x:t xml:space="preserve">测试用例表单</x:t>
    </x:r>
  </x:si>
  <x:si>
    <x:r>
      <x:t xml:space="preserve">General Information </x:t>
    </x:r>
    <x:r>
      <x:rPr>
        <x:sz val="12"/>
        <x:rFont val="宋体"/>
        <x:family val="3"/>
      </x:rPr>
      <x:t xml:space="preserve">基本信息</x:t>
    </x:r>
  </x:si>
  <x:si>
    <x:r>
      <x:t xml:space="preserve">Product Verion </x:t>
    </x:r>
    <x:r>
      <x:rPr>
        <x:sz val="12"/>
        <x:rFont val="宋体"/>
        <x:family val="3"/>
      </x:rPr>
      <x:t xml:space="preserve">产品版本</x:t>
    </x:r>
  </x:si>
  <x:si>
    <x:r>
      <x:t xml:space="preserve">Confidentiality level </x:t>
    </x:r>
    <x:r>
      <x:rPr>
        <x:sz val="12"/>
        <x:rFont val="宋体"/>
        <x:family val="3"/>
      </x:rPr>
      <x:t xml:space="preserve">密级</x:t>
    </x:r>
  </x:si>
  <x:si>
    <x:r>
      <x:t xml:space="preserve">Project Name </x:t>
    </x:r>
    <x:r>
      <x:rPr>
        <x:sz val="12"/>
        <x:rFont val="宋体"/>
        <x:family val="3"/>
      </x:rPr>
      <x:t xml:space="preserve">项目名称</x:t>
    </x:r>
  </x:si>
  <x:si>
    <x:r>
      <x:t xml:space="preserve">Project ID </x:t>
    </x:r>
    <x:r>
      <x:rPr>
        <x:sz val="12"/>
        <x:rFont val="宋体"/>
        <x:family val="3"/>
      </x:rPr>
      <x:t xml:space="preserve">项目</x:t>
    </x:r>
    <x:r>
      <x:rPr>
        <x:sz val="12"/>
        <x:rFont val="Times New Roman"/>
        <x:family val="1"/>
      </x:rPr>
      <x:t xml:space="preserve">ID</x:t>
    </x:r>
  </x:si>
  <x:si>
    <x:r>
      <x:t xml:space="preserve">Prepared by </x:t>
    </x:r>
    <x:r>
      <x:rPr>
        <x:sz val="12"/>
        <x:rFont val="宋体"/>
        <x:family val="3"/>
      </x:rPr>
      <x:t xml:space="preserve">拟制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</x:si>
  <x:si>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</x:si>
  <x:si>
    <x:r>
      <x:t xml:space="preserve">Reviewed by </x:t>
    </x:r>
    <x:r>
      <x:rPr>
        <x:sz val="12"/>
        <x:rFont val="宋体"/>
        <x:family val="3"/>
      </x:rPr>
      <x:t xml:space="preserve">评审人</x:t>
    </x:r>
  </x:si>
  <x:si>
    <x:r>
      <x:t xml:space="preserve">Approved by </x:t>
    </x:r>
    <x:r>
      <x:rPr>
        <x:sz val="12"/>
        <x:rFont val="宋体"/>
        <x:family val="3"/>
      </x:rPr>
      <x:t xml:space="preserve">批准</x:t>
    </x:r>
  </x:si>
  <x:si>
    <x:r>
      <x:t xml:space="preserve">Number of Test cases </x:t>
    </x:r>
    <x:r>
      <x:rPr>
        <x:sz val="12"/>
        <x:rFont val="宋体"/>
        <x:family val="3"/>
      </x:rPr>
      <x:t xml:space="preserve">测试用例数</x:t>
    </x:r>
  </x:si>
  <x:si>
    <x:r>
      <x:t xml:space="preserve">Introduction </x:t>
    </x:r>
    <x:r>
      <x:rPr>
        <x:sz val="12"/>
        <x:rFont val="宋体"/>
        <x:family val="3"/>
      </x:rPr>
      <x:t xml:space="preserve">概述</x:t>
    </x:r>
  </x:si>
  <x:si>
    <x:t xml:space="preserve">在此处概述本测试用例</x:t>
  </x:si>
  <x:si>
    <x:r>
      <x:t xml:space="preserve">Revision Record </x:t>
    </x:r>
    <x:r>
      <x:rPr>
        <x:sz val="12"/>
        <x:rFont val="宋体"/>
        <x:family val="3"/>
      </x:rPr>
      <x:t xml:space="preserve">修订记录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</x:si>
  <x:si>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  <x:r>
      <x:rPr>
        <x:sz val="12"/>
        <x:rFont val="Times New Roman"/>
        <x:family val="1"/>
      </x:rPr>
      <x:t xml:space="preserve"> </x:t>
    </x:r>
  </x:si>
  <x:si>
    <x:r>
      <x:t xml:space="preserve">Revision Version </x:t>
    </x:r>
    <x:r>
      <x:rPr>
        <x:sz val="12"/>
        <x:rFont val="宋体"/>
        <x:family val="3"/>
      </x:rPr>
      <x:t xml:space="preserve">修订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版本</x:t>
    </x:r>
  </x:si>
  <x:si>
    <x:r>
      <x:t xml:space="preserve">CR ID / Defect ID CR</x:t>
    </x:r>
    <x:r>
      <x:rPr>
        <x:sz val="12"/>
        <x:rFont val="宋体"/>
        <x:family val="3"/>
      </x:rPr>
      <x:t xml:space="preserve">号</x:t>
    </x:r>
  </x:si>
  <x:si>
    <x:r>
      <x:t xml:space="preserve">Change Description </x:t>
    </x:r>
    <x:r>
      <x:rPr>
        <x:sz val="12"/>
        <x:rFont val="宋体"/>
        <x:family val="3"/>
      </x:rPr>
      <x:t xml:space="preserve">修改描述</x:t>
    </x:r>
  </x:si>
  <x:si>
    <x:r>
      <x:t xml:space="preserve">Author </x:t>
    </x:r>
    <x:r>
      <x:rPr>
        <x:sz val="12"/>
        <x:rFont val="宋体"/>
        <x:family val="3"/>
      </x:rPr>
      <x:t xml:space="preserve">作者</x:t>
    </x:r>
  </x:si>
  <x:si>
    <x:t xml:space="preserve">yyyy.mm.dd</x:t>
  </x:si>
  <x:si>
    <x:t xml:space="preserve">1.00</x:t>
  </x:si>
  <x:si>
    <x:t xml:space="preserve">xxx</x:t>
  </x:si>
  <x:si>
    <x:r>
      <x:t xml:space="preserve">initial </x:t>
    </x:r>
    <x:r>
      <x:rPr>
        <x:sz val="12"/>
        <x:rFont val="宋体"/>
        <x:family val="3"/>
      </x:rPr>
      <x:t xml:space="preserve">初稿完成</x:t>
    </x:r>
  </x:si>
  <x:si>
    <x:r>
      <x:t xml:space="preserve">Name </x:t>
    </x:r>
    <x:r>
      <x:rPr>
        <x:sz val="12"/>
        <x:rFont val="宋体"/>
        <x:family val="3"/>
      </x:rPr>
      <x:t xml:space="preserve">作者名</x:t>
    </x:r>
  </x:si>
  <x:si>
    <x:r>
      <x:t xml:space="preserve">revised xxx </x:t>
    </x:r>
    <x:r>
      <x:rPr>
        <x:sz val="12"/>
        <x:rFont val="宋体"/>
        <x:family val="3"/>
      </x:rPr>
      <x:t xml:space="preserve">修改</x:t>
    </x:r>
    <x:r>
      <x:rPr>
        <x:sz val="12"/>
        <x:rFont val="Times New Roman"/>
        <x:family val="1"/>
      </x:rPr>
      <x:t xml:space="preserve">XXX Xxx Xxx ...</x:t>
    </x:r>
  </x:si>
  <x:si>
    <x:t xml:space="preserve">……</x:t>
  </x:si>
  <x:si>
    <x:r>
      <x:t xml:space="preserve">Distribution LIST </x:t>
    </x:r>
    <x:r>
      <x:rPr>
        <x:sz val="12"/>
        <x:rFont val="宋体"/>
        <x:family val="3"/>
      </x:rPr>
      <x:t xml:space="preserve">分发记录</x:t>
    </x:r>
  </x:si>
  <x:si>
    <x:t xml:space="preserve">Copy No.</x:t>
  </x:si>
  <x:si>
    <x:r>
      <x:t xml:space="preserve">Holder's Name &amp; Role  </x:t>
    </x:r>
    <x:r>
      <x:rPr>
        <x:sz val="12"/>
        <x:rFont val="宋体"/>
        <x:family val="3"/>
      </x:rPr>
      <x:t xml:space="preserve">持有者和角色</x:t>
    </x:r>
  </x:si>
  <x:si>
    <x:r>
      <x:t xml:space="preserve">Issue Date  </x:t>
    </x:r>
    <x:r>
      <x:rPr>
        <x:sz val="12"/>
        <x:rFont val="宋体"/>
        <x:family val="3"/>
      </x:rPr>
      <x:t xml:space="preserve">分发日期</x:t>
    </x:r>
  </x:si>
  <x:si>
    <x:t xml:space="preserve">&lt;T.M.B&amp;C.P.M&gt;</x:t>
  </x:si>
  <x:si>
    <x:t xml:space="preserve">&lt;Project Manager&gt;</x:t>
  </x:si>
  <x:si>
    <x:t xml:space="preserve">&lt;Team members&gt;</x:t>
  </x:si>
  <x:si>
    <x:t xml:space="preserve">&lt;Customer Representative&gt;</x:t>
  </x:si>
  <x:si>
    <x:t xml:space="preserve">&lt;Others&gt;</x:t>
  </x:si>
  <x:si>
    <x:t xml:space="preserve">测试结果分析</x:t>
  </x:si>
  <x:si>
    <x:r>
      <x:t xml:space="preserve">OK</x:t>
    </x:r>
    <x:r>
      <x:rPr>
        <x:sz val="12"/>
        <x:rFont val="宋体"/>
        <x:family val="3"/>
      </x:rPr>
      <x:t xml:space="preserve">项</x:t>
    </x:r>
  </x:si>
  <x:si>
    <x:r>
      <x:t xml:space="preserve">OK</x:t>
    </x:r>
    <x:r>
      <x:rPr>
        <x:sz val="12"/>
        <x:rFont val="宋体"/>
        <x:family val="3"/>
      </x:rPr>
      <x:t xml:space="preserve">率</x:t>
    </x:r>
  </x:si>
  <x:si>
    <x:r>
      <x:t xml:space="preserve">POK</x:t>
    </x:r>
    <x:r>
      <x:rPr>
        <x:sz val="12"/>
        <x:rFont val="宋体"/>
        <x:family val="3"/>
      </x:rPr>
      <x:t xml:space="preserve">项</x:t>
    </x:r>
  </x:si>
  <x:si>
    <x:r>
      <x:t xml:space="preserve">POK</x:t>
    </x:r>
    <x:r>
      <x:rPr>
        <x:sz val="12"/>
        <x:rFont val="宋体"/>
        <x:family val="3"/>
      </x:rPr>
      <x:t xml:space="preserve">率</x:t>
    </x:r>
  </x:si>
  <x:si>
    <x:r>
      <x:t xml:space="preserve">NG</x:t>
    </x:r>
    <x:r>
      <x:rPr>
        <x:sz val="12"/>
        <x:rFont val="宋体"/>
        <x:family val="3"/>
      </x:rPr>
      <x:t xml:space="preserve">项</x:t>
    </x:r>
  </x:si>
  <x:si>
    <x:r>
      <x:t xml:space="preserve">NG</x:t>
    </x:r>
    <x:r>
      <x:rPr>
        <x:sz val="12"/>
        <x:rFont val="宋体"/>
        <x:family val="3"/>
      </x:rPr>
      <x:t xml:space="preserve">率</x:t>
    </x:r>
  </x:si>
  <x:si>
    <x:r>
      <x:t xml:space="preserve">NT</x:t>
    </x:r>
    <x:r>
      <x:rPr>
        <x:sz val="12"/>
        <x:rFont val="宋体"/>
        <x:family val="3"/>
      </x:rPr>
      <x:t xml:space="preserve">项</x:t>
    </x:r>
  </x:si>
  <x:si>
    <x:r>
      <x:t xml:space="preserve">NT</x:t>
    </x:r>
    <x:r>
      <x:rPr>
        <x:sz val="12"/>
        <x:rFont val="宋体"/>
        <x:family val="3"/>
      </x:rPr>
      <x:t xml:space="preserve">率</x:t>
    </x:r>
  </x:si>
  <x:si>
    <x:t xml:space="preserve">用例总个数</x:t>
  </x:si>
  <x:si>
    <x:r>
      <x:t xml:space="preserve">Test Case ID </x:t>
    </x:r>
    <x:r>
      <x:rPr>
        <x:b/>
        <x:sz val="12"/>
        <x:rFont val="宋体"/>
        <x:family val="3"/>
      </x:rPr>
      <x:t xml:space="preserve">测试用例编号</x:t>
    </x:r>
  </x:si>
  <x:si>
    <x:r>
      <x:t xml:space="preserve">Test Item </x:t>
    </x:r>
    <x:r>
      <x:rPr>
        <x:b/>
        <x:sz val="12"/>
        <x:rFont val="宋体"/>
        <x:family val="3"/>
      </x:rPr>
      <x:t xml:space="preserve">测试项（即功能模块或函数）</x:t>
    </x:r>
  </x:si>
  <x:si>
    <x:r>
      <x:t xml:space="preserve">Test Case Title </x:t>
    </x:r>
    <x:r>
      <x:rPr>
        <x:b/>
        <x:sz val="12"/>
        <x:rFont val="宋体"/>
        <x:family val="3"/>
      </x:rPr>
      <x:t xml:space="preserve">测试用例标题</x:t>
    </x:r>
  </x:si>
  <x:si>
    <x:r>
      <x:t xml:space="preserve">Test Criticality</x:t>
    </x:r>
    <x:r>
      <x:rPr>
        <x:b/>
        <x:sz val="12"/>
        <x:rFont val="宋体"/>
        <x:family val="3"/>
      </x:rPr>
      <x:t xml:space="preserve">重要级别</x:t>
    </x:r>
  </x:si>
  <x:si>
    <x:t xml:space="preserve">是否自动用例</x:t>
  </x:si>
  <x:si>
    <x:t xml:space="preserve">是否新增修改用例</x:t>
  </x:si>
  <x:si>
    <x:r>
      <x:t xml:space="preserve">Pre-condition </x:t>
    </x:r>
    <x:r>
      <x:rPr>
        <x:b/>
        <x:sz val="12"/>
        <x:rFont val="宋体"/>
        <x:family val="3"/>
      </x:rPr>
      <x:t xml:space="preserve">预置条件</x:t>
    </x:r>
  </x:si>
  <x:si>
    <x:r>
      <x:t xml:space="preserve">Input </x:t>
    </x:r>
    <x:r>
      <x:rPr>
        <x:b/>
        <x:sz val="12"/>
        <x:rFont val="宋体"/>
        <x:family val="3"/>
      </x:rPr>
      <x:t xml:space="preserve">输入</x:t>
    </x:r>
  </x:si>
  <x:si>
    <x:r>
      <x:t xml:space="preserve">Procedure </x:t>
    </x:r>
    <x:r>
      <x:rPr>
        <x:b/>
        <x:sz val="12"/>
        <x:rFont val="宋体"/>
        <x:family val="3"/>
      </x:rPr>
      <x:t xml:space="preserve">操作步骤</x:t>
    </x:r>
  </x:si>
  <x:si>
    <x:r>
      <x:t xml:space="preserve">Output </x:t>
    </x:r>
    <x:r>
      <x:rPr>
        <x:b/>
        <x:sz val="12"/>
        <x:rFont val="宋体"/>
        <x:family val="3"/>
      </x:rPr>
      <x:t xml:space="preserve">预期结果</x:t>
    </x:r>
  </x:si>
  <x:si>
    <x:r>
      <x:t xml:space="preserve">Result
</x:t>
    </x:r>
    <x:r>
      <x:rPr>
        <x:b/>
        <x:sz val="12"/>
        <x:rFont val="宋体"/>
        <x:family val="3"/>
      </x:rPr>
      <x:t xml:space="preserve">实际结果</x:t>
    </x:r>
  </x:si>
  <x:si>
    <x:r>
      <x:t xml:space="preserve">Status
</x:t>
    </x:r>
    <x:r>
      <x:rPr>
        <x:b/>
        <x:sz val="12"/>
        <x:rFont val="宋体"/>
        <x:family val="3"/>
      </x:rPr>
      <x:t xml:space="preserve">是否通过</x:t>
    </x:r>
  </x:si>
  <x:si>
    <x:r>
      <x:t xml:space="preserve">Remark </x:t>
    </x:r>
    <x:r>
      <x:rPr>
        <x:b/>
        <x:sz val="12"/>
        <x:rFont val="宋体"/>
        <x:family val="3"/>
      </x:rPr>
      <x:t xml:space="preserve">备注</x:t>
    </x:r>
    <x:r>
      <x:rPr>
        <x:b/>
        <x:sz val="12"/>
        <x:color indexed="10"/>
        <x:rFont val="宋体"/>
        <x:family val="3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</x:si>
  <x:si>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</x:si>
  <x:si>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</x:si>
  <x:si>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</x:si>
  <x:si>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</x:si>
  <x:si>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t xml:space="preserve">Introduction </x:t>
    </x:r>
    <x:r>
      <x:rPr>
        <x:b/>
        <x:sz val="12"/>
        <x:rFont val="宋体"/>
        <x:family val="3"/>
      </x:rPr>
      <x:t xml:space="preserve">使用说明</x:t>
    </x:r>
  </x:si>
  <x:si>
    <x:r>
      <x:t xml:space="preserve">There are two sheets in the Test Case Form. One is "Information", the other is "Test Cases" sheet. </x:t>
    </x:r>
    <x:r>
      <x:rPr>
        <x:sz val="11"/>
        <x:rFont val="宋体"/>
        <x:family val="3"/>
      </x:rPr>
      <x:t xml:space="preserve">测试用例表包含两个表单：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基本信息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表单。</x:t>
    </x:r>
  </x:si>
  <x:si>
    <x:r>
      <x:t xml:space="preserve">The test cases can be multilevel. </x:t>
    </x:r>
    <x:r>
      <x:rPr>
        <x:sz val="11"/>
        <x:rFont val="宋体"/>
        <x:family val="3"/>
      </x:rPr>
      <x:t xml:space="preserve">本测试用例模板支持分层。</x:t>
    </x:r>
  </x:si>
  <x:si>
    <x:r>
      <x:t xml:space="preserve">If project need multilevel, they can add column beside "test item" and "test case" column at "Test Cases" sheet. </x:t>
    </x:r>
    <x:r>
      <x:rPr>
        <x:sz val="11"/>
        <x:rFont val="宋体"/>
        <x:family val="3"/>
      </x:rPr>
      <x:t xml:space="preserve">项目组如果需要多级分层，可在</x:t>
    </x:r>
    <x:r>
      <x:rPr>
        <x:sz val="11"/>
        <x:rFont val="Times New Roman"/>
        <x:family val="1"/>
      </x:rPr>
      <x:t xml:space="preserve">“Test cases”</x:t>
    </x:r>
    <x:r>
      <x:rPr>
        <x:sz val="11"/>
        <x:rFont val="宋体"/>
        <x:family val="3"/>
      </x:rPr>
      <x:t xml:space="preserve">页面中的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之间增加列。例如增加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测试子项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。</x:t>
    </x:r>
  </x:si>
  <x:si>
    <x:r>
      <x:t xml:space="preserve">The number of test cases is low level test cases' number, it is automatic calculate. </x:t>
    </x:r>
    <x:r>
      <x:rPr>
        <x:sz val="11"/>
        <x:rFont val="宋体"/>
        <x:family val="3"/>
      </x:rPr>
      <x:t xml:space="preserve">测试用例的统计使用小测试用例统计，自动统计。</x:t>
    </x:r>
  </x:si>
  <x:si>
    <x:r>
      <x:t xml:space="preserve">The Test Case Form should not use as test record. </x:t>
    </x:r>
    <x:r>
      <x:rPr>
        <x:sz val="11"/>
        <x:rFont val="宋体"/>
        <x:family val="3"/>
      </x:rPr>
      <x:t xml:space="preserve">本测试用例表单不能作为测试记录使用。</x:t>
    </x:r>
  </x:si>
  <x:si>
    <x:r>
      <x:t xml:space="preserve">Test cases ID shall follow the ID rules defined in Test strategy. For example,"Project ID-UT(IT,ST)-nnn". </x:t>
    </x:r>
    <x:r>
      <x:rPr>
        <x:sz val="11"/>
        <x:rFont val="宋体"/>
        <x:family val="3"/>
      </x:rPr>
      <x:t xml:space="preserve">测试用例的编号应符合测试策略中对编号规则的要求。例如，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项目编码</x:t>
    </x:r>
    <x:r>
      <x:rPr>
        <x:sz val="11"/>
        <x:rFont val="Times New Roman"/>
        <x:family val="1"/>
      </x:rPr>
      <x:t xml:space="preserve"> -UT</x:t>
    </x:r>
    <x:r>
      <x:rPr>
        <x:sz val="11"/>
        <x:rFont val="宋体"/>
        <x:family val="3"/>
      </x:rPr>
      <x:t xml:space="preserve">（或</x:t>
    </x:r>
    <x:r>
      <x:rPr>
        <x:sz val="11"/>
        <x:rFont val="Times New Roman"/>
        <x:family val="1"/>
      </x:rPr>
      <x:t xml:space="preserve">IT</x:t>
    </x:r>
    <x:r>
      <x:rPr>
        <x:sz val="11"/>
        <x:rFont val="宋体"/>
        <x:family val="3"/>
      </x:rPr>
      <x:t xml:space="preserve">，</x:t>
    </x:r>
    <x:r>
      <x:rPr>
        <x:sz val="11"/>
        <x:rFont val="Times New Roman"/>
        <x:family val="1"/>
      </x:rPr>
      <x:t xml:space="preserve">ST</x:t>
    </x:r>
    <x:r>
      <x:rPr>
        <x:sz val="11"/>
        <x:rFont val="宋体"/>
        <x:family val="3"/>
      </x:rPr>
      <x:t xml:space="preserve">）</x:t>
    </x:r>
    <x:r>
      <x:rPr>
        <x:sz val="11"/>
        <x:rFont val="Times New Roman"/>
        <x:family val="1"/>
      </x:rPr>
      <x:t xml:space="preserve">-nnn”</x:t>
    </x:r>
    <x:r>
      <x:rPr>
        <x:sz val="11"/>
        <x:rFont val="宋体"/>
        <x:family val="3"/>
      </x:rPr>
      <x:t xml:space="preserve">。</x:t>
    </x:r>
  </x:si>
  <x:si>
    <x:r>
      <x:t xml:space="preserve">Test Criticality</x:t>
    </x:r>
    <x:r>
      <x:rPr>
        <x:sz val="11"/>
        <x:rFont val="宋体"/>
        <x:family val="3"/>
      </x:rPr>
      <x:t xml:space="preserve">重要级别定义为：</x:t>
    </x:r>
    <x:r>
      <x:rPr>
        <x:sz val="11"/>
        <x:rFont val="Times New Roman"/>
        <x:family val="1"/>
      </x:rPr>
      <x:t xml:space="preserve">Specify High/Medium/Low.</x:t>
    </x:r>
    <x:r>
      <x:rPr>
        <x:sz val="11"/>
        <x:rFont val="宋体"/>
        <x:family val="3"/>
      </x:rPr>
      <x:t xml:space="preserve">描述测试用例的重要级别：高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中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低</x:t>
    </x:r>
    <x:r>
      <x:rPr>
        <x:sz val="11"/>
        <x:rFont val="Times New Roman"/>
        <x:family val="1"/>
      </x:rPr>
      <x:t xml:space="preserve">.</x:t>
    </x:r>
  </x:si>
  <x:si>
    <x:r>
      <x:t xml:space="preserve">Output </x:t>
    </x:r>
    <x:r>
      <x:rPr>
        <x:sz val="11"/>
        <x:rFont val="宋体"/>
        <x:family val="3"/>
      </x:rPr>
      <x:t xml:space="preserve">预期输出：</x:t>
    </x:r>
    <x:r>
      <x:rPr>
        <x:sz val="11"/>
        <x:rFont val="Times New Roman"/>
        <x:family val="1"/>
      </x:rPr>
      <x:t xml:space="preserve">Provide the expected result after performing the test</x:t>
    </x:r>
    <x:r>
      <x:rPr>
        <x:sz val="11"/>
        <x:rFont val="宋体"/>
        <x:family val="3"/>
      </x:rPr>
      <x:t xml:space="preserve">提供测试执行的预期结果</x:t>
    </x:r>
  </x:si>
  <x:si>
    <x:r>
      <x:t xml:space="preserve">R</x:t>
    </x:r>
    <x:r>
      <x:rPr>
        <x:sz val="12"/>
        <x:rFont val="Times New Roman"/>
        <x:family val="1"/>
      </x:rPr>
      <x:t xml:space="preserve">esult </x:t>
    </x:r>
    <x:r>
      <x:rPr>
        <x:sz val="12"/>
        <x:rFont val="宋体"/>
        <x:family val="3"/>
      </x:rPr>
      <x:t xml:space="preserve">实际输出</x:t>
    </x:r>
    <x:r>
      <x:rPr>
        <x:sz val="12"/>
        <x:rFont val="Times New Roman"/>
        <x:family val="1"/>
      </x:rPr>
      <x:t xml:space="preserve">:Provide the result after performing the test</x:t>
    </x:r>
    <x:r>
      <x:rPr>
        <x:sz val="12"/>
        <x:rFont val="宋体"/>
        <x:family val="3"/>
      </x:rPr>
      <x:t xml:space="preserve">提供测试结果
</x:t>
    </x:r>
    <x:r>
      <x:rPr>
        <x:sz val="12"/>
        <x:rFont val="Times New Roman"/>
        <x:family val="1"/>
      </x:rPr>
      <x:t xml:space="preserve">OK:</x:t>
    </x:r>
    <x:r>
      <x:rPr>
        <x:sz val="12"/>
        <x:rFont val="宋体"/>
        <x:family val="3"/>
      </x:rPr>
      <x:t xml:space="preserve">测试通过
</x:t>
    </x:r>
    <x:r>
      <x:rPr>
        <x:sz val="12"/>
        <x:rFont val="Times New Roman"/>
        <x:family val="1"/>
      </x:rPr>
      <x:t xml:space="preserve">POK:</x:t>
    </x:r>
    <x:r>
      <x:rPr>
        <x:sz val="12"/>
        <x:rFont val="宋体"/>
        <x:family val="3"/>
      </x:rPr>
      <x:t xml:space="preserve">部分通过
</x:t>
    </x:r>
    <x:r>
      <x:rPr>
        <x:sz val="12"/>
        <x:rFont val="Times New Roman"/>
        <x:family val="1"/>
      </x:rPr>
      <x:t xml:space="preserve">NG:</x:t>
    </x:r>
    <x:r>
      <x:rPr>
        <x:sz val="12"/>
        <x:rFont val="宋体"/>
        <x:family val="3"/>
      </x:rPr>
      <x:t xml:space="preserve">不能通过
</x:t>
    </x:r>
    <x:r>
      <x:rPr>
        <x:sz val="12"/>
        <x:rFont val="Times New Roman"/>
        <x:family val="1"/>
      </x:rPr>
      <x:t xml:space="preserve">NT:</x:t>
    </x:r>
    <x:r>
      <x:rPr>
        <x:sz val="12"/>
        <x:rFont val="宋体"/>
        <x:family val="3"/>
      </x:rPr>
      <x:t xml:space="preserve">测试用例错误</x:t>
    </x:r>
    <x:r>
      <x:rPr>
        <x:sz val="12"/>
        <x:rFont val="Times New Roman"/>
        <x:family val="1"/>
      </x:rPr>
      <x:t xml:space="preserve">,</x:t>
    </x:r>
    <x:r>
      <x:rPr>
        <x:sz val="12"/>
        <x:rFont val="宋体"/>
        <x:family val="3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</x:si>
</x:sst>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2">
    <x:numFmt numFmtId="176" formatCode="yy\.mm\.dd"/>
    <x:numFmt numFmtId="177" formatCode="yyyy\.mm\.dd"/>
  </x:numFmts>
  <x:fonts count="15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</x:fills>
  <x:borders count="17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b8ba6036ee40ea" /><Relationship Type="http://schemas.openxmlformats.org/officeDocument/2006/relationships/theme" Target="/xl/theme/theme1.xml" Id="Raa6206447a6640da" /><Relationship Type="http://schemas.openxmlformats.org/officeDocument/2006/relationships/sharedStrings" Target="/xl/sharedStrings.xml" Id="R84893f65c79f4906" /><Relationship Type="http://schemas.openxmlformats.org/officeDocument/2006/relationships/worksheet" Target="/xl/worksheets/sheet1.xml" Id="Re91373b6c3d74a92" /><Relationship Type="http://schemas.openxmlformats.org/officeDocument/2006/relationships/worksheet" Target="/xl/worksheets/sheet2.xml" Id="R3c7c3a5239dd427b" /><Relationship Type="http://schemas.openxmlformats.org/officeDocument/2006/relationships/worksheet" Target="/xl/worksheets/sheet3.xml" Id="Rad532dfc04ca47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23075671d9142b7" /><Relationship Type="http://schemas.openxmlformats.org/officeDocument/2006/relationships/chart" Target="/xl/drawings/charts/chart1.xml" Id="R8100629a217e4dc5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"/>
          <c:y val="0.038760910700115975"/>
        </c:manualLayout>
      </c:layout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"/>
          <c:y val="0.38761073470467355"/>
          <c:w val="0.9791992016622922"/>
          <c:h val="0.7480888726118538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00629a217e4dc5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3075671d9142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51db89e95648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6" t="s">
        <x:v>0</x:v>
      </x:c>
      <x:c r="C2" s="6"/>
      <x:c r="D2" s="7"/>
      <x:c r="E2" s="7"/>
      <x:c r="F2" s="8"/>
      <x:c r="G2" s="8"/>
      <x:c r="H2" s="8"/>
      <x:c r="I2" s="8"/>
      <x:c r="J2" s="8"/>
      <x:c r="K2" s="8"/>
    </x:row>
    <x:row r="3">
      <x:c r="B3" s="7"/>
      <x:c r="C3" s="7"/>
      <x:c r="D3" s="7"/>
      <x:c r="E3" s="8"/>
      <x:c r="F3" s="8"/>
      <x:c r="G3" s="8"/>
      <x:c r="H3" s="8"/>
      <x:c r="I3" s="8"/>
      <x:c r="J3" s="8"/>
      <x:c r="K3" s="8"/>
    </x:row>
    <x:row r="4">
      <x:c r="B4" s="7"/>
      <x:c r="C4" s="7"/>
      <x:c r="D4" s="7"/>
      <x:c r="E4" s="7"/>
      <x:c r="F4" s="8"/>
      <x:c r="G4" s="8"/>
      <x:c r="H4" s="8"/>
      <x:c r="I4" s="8"/>
      <x:c r="J4" s="8"/>
      <x:c r="K4" s="8"/>
    </x:row>
    <x:row r="5" ht="3.9000000953674316" customHeight="1"/>
    <x:row r="6" ht="16.200000762939453">
      <x:c r="B6" s="9" t="s">
        <x:v>1</x:v>
      </x:c>
      <x:c r="C6" s="9"/>
      <x:c r="D6" s="9"/>
      <x:c r="E6" s="9"/>
      <x:c r="F6" s="9"/>
      <x:c r="G6" s="9"/>
      <x:c r="H6" s="9"/>
      <x:c r="I6" s="9"/>
      <x:c r="J6" s="9"/>
      <x:c r="K6" s="9"/>
      <x:c r="L6" s="10"/>
    </x:row>
    <x:row r="7" ht="16.200000762939453">
      <x:c r="B7" s="9" t="s">
        <x:v>2</x:v>
      </x:c>
      <x:c r="C7" s="9"/>
      <x:c r="D7" s="9"/>
      <x:c r="E7" s="11" t="str">
        <x:v>6.2.2 baseline + local fixes</x:v>
      </x:c>
      <x:c r="F7" s="11"/>
      <x:c r="G7" s="9" t="s">
        <x:v>3</x:v>
      </x:c>
      <x:c r="H7" s="9"/>
      <x:c r="I7" s="9"/>
      <x:c r="J7" s="11" t="str">
        <x:v>课程作业</x:v>
      </x:c>
      <x:c r="K7" s="11"/>
      <x:c r="L7" s="10"/>
    </x:row>
    <x:row r="8" ht="16.200000762939453">
      <x:c r="B8" s="9" t="s">
        <x:v>4</x:v>
      </x:c>
      <x:c r="C8" s="9"/>
      <x:c r="D8" s="9"/>
      <x:c r="E8" s="11" t="str">
        <x:v>模块一：croniter 测试基础实践</x:v>
      </x:c>
      <x:c r="F8" s="11"/>
      <x:c r="G8" s="9" t="s">
        <x:v>5</x:v>
      </x:c>
      <x:c r="H8" s="9"/>
      <x:c r="I8" s="9"/>
      <x:c r="J8" s="11" t="str">
        <x:v>CRON-M1</x:v>
      </x:c>
      <x:c r="K8" s="11"/>
      <x:c r="L8" s="10"/>
    </x:row>
    <x:row r="9" ht="16.200000762939453">
      <x:c r="B9" s="9" t="s">
        <x:v>6</x:v>
      </x:c>
      <x:c r="C9" s="9"/>
      <x:c r="D9" s="9"/>
      <x:c r="E9" s="11" t="str">
        <x:v>测试小组</x:v>
      </x:c>
      <x:c r="F9" s="11"/>
      <x:c r="G9" s="9" t="s">
        <x:v>7</x:v>
      </x:c>
      <x:c r="H9" s="9"/>
      <x:c r="I9" s="9"/>
      <x:c r="J9" s="11" t="str">
        <x:v>2026-09-08</x:v>
      </x:c>
      <x:c r="K9" s="11"/>
      <x:c r="L9" s="10"/>
    </x:row>
    <x:row r="10" ht="16.200000762939453">
      <x:c r="B10" s="9" t="s">
        <x:v>8</x:v>
      </x:c>
      <x:c r="C10" s="9"/>
      <x:c r="D10" s="9"/>
      <x:c r="E10" s="11" t="str">
        <x:v>待评审</x:v>
      </x:c>
      <x:c r="F10" s="11"/>
      <x:c r="G10" s="9" t="s">
        <x:v>7</x:v>
      </x:c>
      <x:c r="H10" s="9"/>
      <x:c r="I10" s="9"/>
      <x:c r="J10" s="11" t="str">
        <x:v>2026-09-08</x:v>
      </x:c>
      <x:c r="K10" s="11"/>
      <x:c r="L10" s="10"/>
    </x:row>
    <x:row r="11" ht="16.200000762939453">
      <x:c r="B11" s="9" t="s">
        <x:v>9</x:v>
      </x:c>
      <x:c r="C11" s="9"/>
      <x:c r="D11" s="9"/>
      <x:c r="E11" s="11" t="str">
        <x:v>待批准</x:v>
      </x:c>
      <x:c r="F11" s="11"/>
      <x:c r="G11" s="9" t="s">
        <x:v>7</x:v>
      </x:c>
      <x:c r="H11" s="9"/>
      <x:c r="I11" s="9"/>
      <x:c r="J11" s="11" t="str"/>
      <x:c r="K11" s="11"/>
      <x:c r="L11" s="10"/>
    </x:row>
    <x:row r="12" ht="3.9000000953674316" customHeight="1"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6.200000762939453">
      <x:c r="B13" s="9" t="s">
        <x:v>10</x:v>
      </x:c>
      <x:c r="C13" s="9"/>
      <x:c r="D13" s="9"/>
      <x:c r="E13" s="13" t="n">
        <x:f>COUNTA('Test Cases测试用例'!A2:A200)</x:f>
        <x:v>36</x:v>
      </x:c>
      <x:c r="F13" s="10"/>
    </x:row>
    <x:row r="14" ht="3.9000000953674316" customHeight="1">
      <x:c r="B14" s="12"/>
      <x:c r="C14" s="12"/>
      <x:c r="D14" s="12"/>
      <x:c r="E14" s="12"/>
    </x:row>
    <x:row r="15" ht="16.200000762939453">
      <x:c r="B15" s="9" t="s">
        <x:v>11</x:v>
      </x:c>
      <x:c r="C15" s="9"/>
      <x:c r="D15" s="9"/>
      <x:c r="E15" s="9" t="str">
        <x:v>针对 croniter 核心解析、迭代、匹配、范围和时区功能设计 36 条单元测试用例；覆盖等价类、边界值、场景法和历史缺陷回归。</x:v>
      </x:c>
      <x:c r="F15" s="9"/>
      <x:c r="G15" s="9"/>
      <x:c r="H15" s="9"/>
      <x:c r="I15" s="9"/>
      <x:c r="J15" s="9"/>
      <x:c r="K15" s="9"/>
      <x:c r="L15" s="10"/>
    </x:row>
    <x:row r="16" ht="18.899999618530273" customHeight="1">
      <x:c r="B16" s="4" t="s">
        <x:v>12</x:v>
      </x:c>
      <x:c r="C16" s="14"/>
      <x:c r="D16" s="11"/>
      <x:c r="E16" s="11"/>
      <x:c r="F16" s="11"/>
      <x:c r="G16" s="11"/>
      <x:c r="H16" s="11"/>
      <x:c r="I16" s="11"/>
      <x:c r="J16" s="11"/>
      <x:c r="K16" s="11"/>
      <x:c r="L16" s="10"/>
    </x:row>
    <x:row r="17" ht="3.9000000953674316" customHeight="1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16.200000762939453">
      <x:c r="B18" s="9" t="s">
        <x:v>13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10"/>
    </x:row>
    <x:row r="19" ht="48">
      <x:c r="B19" s="15" t="s">
        <x:v>14</x:v>
      </x:c>
      <x:c r="C19" s="15" t="s">
        <x:v>15</x:v>
      </x:c>
      <x:c r="D19" s="15" t="s">
        <x:v>16</x:v>
      </x:c>
      <x:c r="E19" s="16" t="s">
        <x:v>17</x:v>
      </x:c>
      <x:c r="F19" s="16"/>
      <x:c r="G19" s="16"/>
      <x:c r="H19" s="16"/>
      <x:c r="I19" s="16"/>
      <x:c r="J19" s="16"/>
      <x:c r="K19" s="15" t="s">
        <x:v>18</x:v>
      </x:c>
      <x:c r="L19" s="10"/>
    </x:row>
    <x:row r="20" ht="16.200000762939453">
      <x:c r="B20" s="17" t="s">
        <x:v>19</x:v>
      </x:c>
      <x:c r="C20" s="18" t="s">
        <x:v>20</x:v>
      </x:c>
      <x:c r="D20" s="11" t="s">
        <x:v>21</x:v>
      </x:c>
      <x:c r="E20" s="11" t="s">
        <x:v>22</x:v>
      </x:c>
      <x:c r="F20" s="11"/>
      <x:c r="G20" s="11"/>
      <x:c r="H20" s="11"/>
      <x:c r="I20" s="11"/>
      <x:c r="J20" s="11"/>
      <x:c r="K20" s="11" t="s">
        <x:v>23</x:v>
      </x:c>
      <x:c r="L20" s="10"/>
    </x:row>
    <x:row r="21" ht="16.200000762939453">
      <x:c r="B21" s="17" t="s">
        <x:v>19</x:v>
      </x:c>
      <x:c r="C21" s="18">
        <x:v>1.01</x:v>
      </x:c>
      <x:c r="D21" s="11" t="s">
        <x:v>21</x:v>
      </x:c>
      <x:c r="E21" s="11" t="s">
        <x:v>24</x:v>
      </x:c>
      <x:c r="F21" s="11"/>
      <x:c r="G21" s="11"/>
      <x:c r="H21" s="11"/>
      <x:c r="I21" s="11"/>
      <x:c r="J21" s="11"/>
      <x:c r="K21" s="11" t="s">
        <x:v>23</x:v>
      </x:c>
      <x:c r="L21" s="10"/>
    </x:row>
    <x:row r="22" ht="16.200000762939453">
      <x:c r="B22" s="17"/>
      <x:c r="C22" s="18"/>
      <x:c r="D22" s="11" t="s">
        <x:v>21</x:v>
      </x:c>
      <x:c r="E22" s="11" t="s">
        <x:v>24</x:v>
      </x:c>
      <x:c r="F22" s="11"/>
      <x:c r="G22" s="11"/>
      <x:c r="H22" s="11"/>
      <x:c r="I22" s="11"/>
      <x:c r="J22" s="11"/>
      <x:c r="K22" s="11" t="s">
        <x:v>23</x:v>
      </x:c>
      <x:c r="L22" s="10"/>
    </x:row>
    <x:row r="23" ht="16.200000762939453">
      <x:c r="B23" s="17" t="s">
        <x:v>19</x:v>
      </x:c>
      <x:c r="C23" s="18">
        <x:v>1.02</x:v>
      </x:c>
      <x:c r="D23" s="11" t="s">
        <x:v>21</x:v>
      </x:c>
      <x:c r="E23" s="11" t="s">
        <x:v>24</x:v>
      </x:c>
      <x:c r="F23" s="11"/>
      <x:c r="G23" s="11"/>
      <x:c r="H23" s="11"/>
      <x:c r="I23" s="11"/>
      <x:c r="J23" s="11"/>
      <x:c r="K23" s="11" t="s">
        <x:v>23</x:v>
      </x:c>
      <x:c r="L23" s="10"/>
    </x:row>
    <x:row r="24" ht="16.200000762939453">
      <x:c r="B24" s="17" t="s">
        <x:v>25</x:v>
      </x:c>
      <x:c r="C24" s="18" t="s">
        <x:v>25</x:v>
      </x:c>
      <x:c r="D24" s="19" t="s">
        <x:v>25</x:v>
      </x:c>
      <x:c r="E24" s="11" t="s">
        <x:v>25</x:v>
      </x:c>
      <x:c r="F24" s="11"/>
      <x:c r="G24" s="11"/>
      <x:c r="H24" s="11"/>
      <x:c r="I24" s="11"/>
      <x:c r="J24" s="11"/>
      <x:c r="K24" s="11" t="s">
        <x:v>23</x:v>
      </x:c>
      <x:c r="L24" s="10"/>
    </x:row>
    <x:row r="25" ht="16.200000762939453">
      <x:c r="B25" s="17" t="s">
        <x:v>19</x:v>
      </x:c>
      <x:c r="C25" s="18">
        <x:v>2</x:v>
      </x:c>
      <x:c r="D25" s="11" t="s">
        <x:v>21</x:v>
      </x:c>
      <x:c r="E25" s="11" t="s">
        <x:v>24</x:v>
      </x:c>
      <x:c r="F25" s="11"/>
      <x:c r="G25" s="11"/>
      <x:c r="H25" s="11"/>
      <x:c r="I25" s="11"/>
      <x:c r="J25" s="11"/>
      <x:c r="K25" s="11" t="s">
        <x:v>25</x:v>
      </x:c>
      <x:c r="L25" s="10"/>
    </x:row>
    <x:row r="26" ht="3.9000000953674316" customHeight="1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16.200000762939453">
      <x:c r="B27" s="9" t="s">
        <x:v>26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10"/>
    </x:row>
    <x:row r="28" ht="16.200000762939453">
      <x:c r="B28" s="20" t="s">
        <x:v>27</x:v>
      </x:c>
      <x:c r="C28" s="9" t="s">
        <x:v>28</x:v>
      </x:c>
      <x:c r="D28" s="9"/>
      <x:c r="E28" s="9"/>
      <x:c r="F28" s="9"/>
      <x:c r="G28" s="9"/>
      <x:c r="H28" s="9"/>
      <x:c r="I28" s="9"/>
      <x:c r="J28" s="9" t="s">
        <x:v>29</x:v>
      </x:c>
      <x:c r="K28" s="9"/>
      <x:c r="L28" s="10"/>
    </x:row>
    <x:row r="29">
      <x:c r="B29" s="11">
        <x:v>1</x:v>
      </x:c>
      <x:c r="C29" s="11" t="s">
        <x:v>30</x:v>
      </x:c>
      <x:c r="D29" s="11"/>
      <x:c r="E29" s="11"/>
      <x:c r="F29" s="11"/>
      <x:c r="G29" s="11"/>
      <x:c r="H29" s="11"/>
      <x:c r="I29" s="11"/>
      <x:c r="J29" s="17" t="s">
        <x:v>19</x:v>
      </x:c>
      <x:c r="K29" s="17"/>
      <x:c r="L29" s="10"/>
    </x:row>
    <x:row r="30">
      <x:c r="B30" s="11">
        <x:v>2</x:v>
      </x:c>
      <x:c r="C30" s="11" t="s">
        <x:v>31</x:v>
      </x:c>
      <x:c r="D30" s="11"/>
      <x:c r="E30" s="11"/>
      <x:c r="F30" s="11"/>
      <x:c r="G30" s="11"/>
      <x:c r="H30" s="11"/>
      <x:c r="I30" s="11"/>
      <x:c r="J30" s="17" t="s">
        <x:v>19</x:v>
      </x:c>
      <x:c r="K30" s="17"/>
      <x:c r="L30" s="10"/>
    </x:row>
    <x:row r="31">
      <x:c r="B31" s="11">
        <x:v>3</x:v>
      </x:c>
      <x:c r="C31" s="11" t="s">
        <x:v>32</x:v>
      </x:c>
      <x:c r="D31" s="11"/>
      <x:c r="E31" s="11"/>
      <x:c r="F31" s="11"/>
      <x:c r="G31" s="11"/>
      <x:c r="H31" s="11"/>
      <x:c r="I31" s="11"/>
      <x:c r="J31" s="17" t="s">
        <x:v>19</x:v>
      </x:c>
      <x:c r="K31" s="17"/>
      <x:c r="L31" s="10"/>
    </x:row>
    <x:row r="32">
      <x:c r="B32" s="11">
        <x:v>4</x:v>
      </x:c>
      <x:c r="C32" s="11" t="s">
        <x:v>33</x:v>
      </x:c>
      <x:c r="D32" s="11"/>
      <x:c r="E32" s="11"/>
      <x:c r="F32" s="11"/>
      <x:c r="G32" s="11"/>
      <x:c r="H32" s="11"/>
      <x:c r="I32" s="11"/>
      <x:c r="J32" s="17" t="s">
        <x:v>19</x:v>
      </x:c>
      <x:c r="K32" s="17"/>
      <x:c r="L32" s="10"/>
    </x:row>
    <x:row r="33">
      <x:c r="B33" s="21">
        <x:v>5</x:v>
      </x:c>
      <x:c r="C33" s="22" t="s">
        <x:v>34</x:v>
      </x:c>
      <x:c r="D33" s="22"/>
      <x:c r="E33" s="22"/>
      <x:c r="F33" s="22"/>
      <x:c r="G33" s="22"/>
      <x:c r="H33" s="22"/>
      <x:c r="I33" s="22"/>
      <x:c r="J33" s="23" t="s">
        <x:v>19</x:v>
      </x:c>
      <x:c r="K33" s="24"/>
      <x:c r="L33" s="25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7"/>
      <x:c r="K34" s="27"/>
      <x:c r="L34" s="25"/>
    </x:row>
    <x:row r="35"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7" ht="15" customHeight="1">
      <x:c r="B37" s="51" t="s">
        <x:v>35</x:v>
      </x:c>
      <x:c r="C37" s="52"/>
      <x:c r="D37" s="52"/>
      <x:c r="E37" s="53"/>
    </x:row>
    <x:row r="38" ht="16.200000762939453">
      <x:c r="B38" s="28" t="s">
        <x:v>36</x:v>
      </x:c>
      <x:c r="C38" s="29" t="n">
        <x:f>IF($E$13=0,0,COUNTIF('Test Cases测试用例'!$L:$L,"=OK"))</x:f>
        <x:v>36</x:v>
      </x:c>
      <x:c r="D38" s="28" t="s">
        <x:v>37</x:v>
      </x:c>
      <x:c r="E38" s="30" t="n">
        <x:f>IF(E13=0,0,C38/E13)</x:f>
        <x:v>1</x:v>
      </x:c>
    </x:row>
    <x:row r="39" ht="16.200000762939453">
      <x:c r="B39" s="28" t="s">
        <x:v>38</x:v>
      </x:c>
      <x:c r="C39" s="29" t="n">
        <x:f>IF($E$13=0,0,COUNTIF('Test Cases测试用例'!$L:$L,"=POK"))</x:f>
        <x:v>0</x:v>
      </x:c>
      <x:c r="D39" s="28" t="s">
        <x:v>39</x:v>
      </x:c>
      <x:c r="E39" s="30" t="n">
        <x:f>IF(E13=0,0,C39/E13)</x:f>
        <x:v>0</x:v>
      </x:c>
    </x:row>
    <x:row r="40" ht="16.200000762939453">
      <x:c r="B40" s="28" t="s">
        <x:v>40</x:v>
      </x:c>
      <x:c r="C40" s="29" t="n">
        <x:f>IF($E$13=0,0,COUNTIF('Test Cases测试用例'!$L:$L,"=NG"))</x:f>
        <x:v>0</x:v>
      </x:c>
      <x:c r="D40" s="28" t="s">
        <x:v>41</x:v>
      </x:c>
      <x:c r="E40" s="30" t="n">
        <x:f>IF(E13=0,0,C40/E13)</x:f>
        <x:v>0</x:v>
      </x:c>
    </x:row>
    <x:row r="41" ht="16.200000762939453">
      <x:c r="B41" s="31" t="s">
        <x:v>42</x:v>
      </x:c>
      <x:c r="C41" s="32" t="n">
        <x:f>IF($E$13=0,0,COUNTIF('Test Cases测试用例'!$L:$L,"=NT"))</x:f>
        <x:v>0</x:v>
      </x:c>
      <x:c r="D41" s="31" t="s">
        <x:v>43</x:v>
      </x:c>
      <x:c r="E41" s="33" t="n">
        <x:f>IF(E13=0,0,C41/E13)</x:f>
        <x:v>0</x:v>
      </x:c>
    </x:row>
    <x:row r="42" ht="3" customHeight="1">
      <x:c r="B42" s="34"/>
      <x:c r="C42" s="35"/>
      <x:c r="D42" s="36"/>
      <x:c r="E42" s="37"/>
    </x:row>
    <x:row r="43" ht="16.200000762939453">
      <x:c r="B43" s="3" t="s">
        <x:v>44</x:v>
      </x:c>
      <x:c r="C43" s="54" t="n">
        <x:f>E13</x:f>
        <x:v>36</x:v>
      </x:c>
      <x:c r="D43" s="55"/>
      <x:c r="E43" s="56"/>
    </x:row>
  </x:sheetData>
  <x:mergeCells>
    <x:mergeCell ref="B37:E37"/>
    <x:mergeCell ref="C43:E43"/>
  </x:mergeCells>
  <x:pageMargins left="0.7" right="0.7" top="0.75" bottom="0.75" header="0.3" footer="0.3"/>
  <x:drawing xmlns:r="http://schemas.openxmlformats.org/officeDocument/2006/relationships" r:id="R7051db89e95648c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5.36328125" style="44" customWidth="1"/>
    <x:col min="2" max="2" width="16.54296875" style="44" customWidth="1"/>
    <x:col min="3" max="3" width="26.81640625" style="44" customWidth="1"/>
    <x:col min="4" max="4" width="21" style="44" customWidth="1"/>
    <x:col min="5" max="5" width="13.90625" style="44" hidden="1" customWidth="1"/>
    <x:col min="6" max="6" width="8.90625" style="44" hidden="1" customWidth="1"/>
    <x:col min="7" max="7" width="21.1796875" style="44" customWidth="1"/>
    <x:col min="8" max="8" width="12.81640625" style="44" customWidth="1"/>
    <x:col min="9" max="9" width="14.453125" style="44" customWidth="1"/>
    <x:col min="10" max="10" width="16.453125" style="44" customWidth="1"/>
    <x:col min="11" max="11" width="11.81640625" style="44" customWidth="1"/>
    <x:col min="12" max="12" width="11" style="44" customWidth="1"/>
    <x:col min="13" max="13" width="20.90625" style="44" customWidth="1"/>
    <x:col min="14" max="14" width="3.453125" style="41" hidden="1" customWidth="1"/>
    <x:col min="15" max="16384" width="11.6328125" style="41" customWidth="0"/>
  </x:cols>
  <x:sheetData>
    <x:row r="1" ht="48">
      <x:c r="A1" s="38" t="s">
        <x:v>45</x:v>
      </x:c>
      <x:c r="B1" s="38" t="s">
        <x:v>46</x:v>
      </x:c>
      <x:c r="C1" s="38" t="s">
        <x:v>47</x:v>
      </x:c>
      <x:c r="D1" s="38" t="s">
        <x:v>48</x:v>
      </x:c>
      <x:c r="E1" s="50" t="s">
        <x:v>49</x:v>
      </x:c>
      <x:c r="F1" s="50" t="s">
        <x:v>50</x:v>
      </x:c>
      <x:c r="G1" s="38" t="s">
        <x:v>51</x:v>
      </x:c>
      <x:c r="H1" s="38" t="s">
        <x:v>52</x:v>
      </x:c>
      <x:c r="I1" s="38" t="s">
        <x:v>53</x:v>
      </x:c>
      <x:c r="J1" s="38" t="s">
        <x:v>54</x:v>
      </x:c>
      <x:c r="K1" s="38" t="s">
        <x:v>55</x:v>
      </x:c>
      <x:c r="L1" s="38" t="s">
        <x:v>56</x:v>
      </x:c>
      <x:c r="M1" s="38" t="s">
        <x:v>57</x:v>
      </x:c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>
      <x:c r="A2" s="42" t="str">
        <x:v>CRON-UT-001</x:v>
      </x:c>
      <x:c r="B2" s="42" t="str">
        <x:v>croniter() 解析</x:v>
      </x:c>
      <x:c r="C2" s="42" t="str">
        <x:v>等价类测试：croniter() 解析（用例 1）</x:v>
      </x:c>
      <x:c r="D2" s="42" t="str">
        <x:v>高</x:v>
      </x:c>
      <x:c r="E2" s="42" t="str">
        <x:v>是</x:v>
      </x:c>
      <x:c r="F2" s="42" t="str">
        <x:v>否</x:v>
      </x:c>
      <x:c r="G2" s="42" t="str">
        <x:v>安装 croniter 6.2.2；准备固定输入和基准时间</x:v>
      </x:c>
      <x:c r="H2" s="42" t="str">
        <x:v>按 croniter() 解析 设计的有效/无效 cron 表达式及固定 datetime</x:v>
      </x:c>
      <x:c r="I2" s="42" t="str">
        <x:v>调用 croniter() 解析 对应接口，记录返回值/异常并与预期比较</x:v>
      </x:c>
      <x:c r="J2" s="42" t="str">
        <x:v>返回符合 cron 语义的结果或按规范抛出异常</x:v>
      </x:c>
      <x:c r="K2" s="42" t="str">
        <x:v>OK</x:v>
      </x:c>
      <x:c r="L2" s="42" t="str">
        <x:v>OK</x:v>
      </x:c>
      <x:c r="M2" s="42" t="str">
        <x:v>等价类；自动化测试 test_croniter.py；参数化用例</x:v>
      </x:c>
      <x:c r="N2" s="43" t="s">
        <x:v>58</x:v>
      </x:c>
    </x:row>
    <x:row r="3">
      <x:c r="A3" s="42" t="str">
        <x:v>CRON-UT-002</x:v>
      </x:c>
      <x:c r="B3" s="42" t="str">
        <x:v>croniter() 解析</x:v>
      </x:c>
      <x:c r="C3" s="42" t="str">
        <x:v>等价类测试：croniter() 解析（用例 2）</x:v>
      </x:c>
      <x:c r="D3" s="42" t="str">
        <x:v>高</x:v>
      </x:c>
      <x:c r="E3" s="42" t="str">
        <x:v>是</x:v>
      </x:c>
      <x:c r="F3" s="42" t="str">
        <x:v>否</x:v>
      </x:c>
      <x:c r="G3" s="42" t="str">
        <x:v>安装 croniter 6.2.2；准备固定输入和基准时间</x:v>
      </x:c>
      <x:c r="H3" s="42" t="str">
        <x:v>按 croniter() 解析 设计的有效/无效 cron 表达式及固定 datetime</x:v>
      </x:c>
      <x:c r="I3" s="42" t="str">
        <x:v>调用 croniter() 解析 对应接口，记录返回值/异常并与预期比较</x:v>
      </x:c>
      <x:c r="J3" s="42" t="str">
        <x:v>返回符合 cron 语义的结果或按规范抛出异常</x:v>
      </x:c>
      <x:c r="K3" s="42" t="str">
        <x:v>OK</x:v>
      </x:c>
      <x:c r="L3" s="42" t="str">
        <x:v>OK</x:v>
      </x:c>
      <x:c r="M3" s="42" t="str">
        <x:v>等价类；自动化测试 test_croniter.py；参数化用例</x:v>
      </x:c>
      <x:c r="N3" s="43" t="s">
        <x:v>59</x:v>
      </x:c>
    </x:row>
    <x:row r="4">
      <x:c r="A4" s="42" t="str">
        <x:v>CRON-UT-003</x:v>
      </x:c>
      <x:c r="B4" s="42" t="str">
        <x:v>croniter() 解析</x:v>
      </x:c>
      <x:c r="C4" s="42" t="str">
        <x:v>等价类测试：croniter() 解析（用例 3）</x:v>
      </x:c>
      <x:c r="D4" t="str">
        <x:v>高</x:v>
      </x:c>
      <x:c r="E4" s="42" t="str">
        <x:v>是</x:v>
      </x:c>
      <x:c r="F4" s="42" t="str">
        <x:v>否</x:v>
      </x:c>
      <x:c r="G4" s="42" t="str">
        <x:v>安装 croniter 6.2.2；准备固定输入和基准时间</x:v>
      </x:c>
      <x:c r="H4" s="42" t="str">
        <x:v>按 croniter() 解析 设计的有效/无效 cron 表达式及固定 datetime</x:v>
      </x:c>
      <x:c r="I4" s="42" t="str">
        <x:v>调用 croniter() 解析 对应接口，记录返回值/异常并与预期比较</x:v>
      </x:c>
      <x:c r="J4" s="42" t="str">
        <x:v>返回符合 cron 语义的结果或按规范抛出异常</x:v>
      </x:c>
      <x:c r="K4" s="42" t="str">
        <x:v>OK</x:v>
      </x:c>
      <x:c r="L4" s="42" t="str">
        <x:v>OK</x:v>
      </x:c>
      <x:c r="M4" s="42" t="str">
        <x:v>等价类；自动化测试 test_croniter.py；参数化用例</x:v>
      </x:c>
      <x:c r="N4" s="43" t="s">
        <x:v>60</x:v>
      </x:c>
    </x:row>
    <x:row r="5">
      <x:c r="A5" s="42" t="str">
        <x:v>CRON-UT-004</x:v>
      </x:c>
      <x:c r="B5" s="42" t="str">
        <x:v>croniter() 解析</x:v>
      </x:c>
      <x:c r="C5" s="42" t="str">
        <x:v>等价类测试：croniter() 解析（用例 4）</x:v>
      </x:c>
      <x:c r="D5" s="42" t="str">
        <x:v>高</x:v>
      </x:c>
      <x:c r="E5" s="42" t="str">
        <x:v>是</x:v>
      </x:c>
      <x:c r="F5" s="42" t="str">
        <x:v>否</x:v>
      </x:c>
      <x:c r="G5" s="42" t="str">
        <x:v>安装 croniter 6.2.2；准备固定输入和基准时间</x:v>
      </x:c>
      <x:c r="H5" s="42" t="str">
        <x:v>按 croniter() 解析 设计的有效/无效 cron 表达式及固定 datetime</x:v>
      </x:c>
      <x:c r="I5" s="42" t="str">
        <x:v>调用 croniter() 解析 对应接口，记录返回值/异常并与预期比较</x:v>
      </x:c>
      <x:c r="J5" s="42" t="str">
        <x:v>返回符合 cron 语义的结果或按规范抛出异常</x:v>
      </x:c>
      <x:c r="K5" s="42" t="str">
        <x:v>OK</x:v>
      </x:c>
      <x:c r="L5" s="42" t="str">
        <x:v>OK</x:v>
      </x:c>
      <x:c r="M5" s="42" t="str">
        <x:v>等价类；自动化测试 test_croniter.py；参数化用例</x:v>
      </x:c>
      <x:c r="N5" s="43" t="s">
        <x:v>61</x:v>
      </x:c>
    </x:row>
    <x:row r="6">
      <x:c r="A6" s="42" t="str">
        <x:v>CRON-UT-005</x:v>
      </x:c>
      <x:c r="B6" s="42" t="str">
        <x:v>croniter() 解析</x:v>
      </x:c>
      <x:c r="C6" s="42" t="str">
        <x:v>等价类测试：croniter() 解析（用例 5）</x:v>
      </x:c>
      <x:c r="D6" s="42" t="str">
        <x:v>高</x:v>
      </x:c>
      <x:c r="E6" s="42" t="str">
        <x:v>是</x:v>
      </x:c>
      <x:c r="F6" s="42" t="str">
        <x:v>否</x:v>
      </x:c>
      <x:c r="G6" s="42" t="str">
        <x:v>安装 croniter 6.2.2；准备固定输入和基准时间</x:v>
      </x:c>
      <x:c r="H6" s="42" t="str">
        <x:v>按 croniter() 解析 设计的有效/无效 cron 表达式及固定 datetime</x:v>
      </x:c>
      <x:c r="I6" s="42" t="str">
        <x:v>调用 croniter() 解析 对应接口，记录返回值/异常并与预期比较</x:v>
      </x:c>
      <x:c r="J6" s="42" t="str">
        <x:v>返回符合 cron 语义的结果或按规范抛出异常</x:v>
      </x:c>
      <x:c r="K6" s="42" t="str">
        <x:v>OK</x:v>
      </x:c>
      <x:c r="L6" s="42" t="str">
        <x:v>OK</x:v>
      </x:c>
      <x:c r="M6" s="42" t="str">
        <x:v>等价类；自动化测试 test_croniter.py；参数化用例</x:v>
      </x:c>
      <x:c r="N6" s="43"/>
    </x:row>
    <x:row r="7">
      <x:c r="A7" s="42" t="str">
        <x:v>CRON-UT-006</x:v>
      </x:c>
      <x:c r="B7" s="42" t="str">
        <x:v>croniter() 解析</x:v>
      </x:c>
      <x:c r="C7" s="42" t="str">
        <x:v>等价类测试：croniter() 解析（用例 6）</x:v>
      </x:c>
      <x:c r="D7" s="42" t="str">
        <x:v>高</x:v>
      </x:c>
      <x:c r="E7" s="42" t="str">
        <x:v>是</x:v>
      </x:c>
      <x:c r="F7" s="42" t="str">
        <x:v>否</x:v>
      </x:c>
      <x:c r="G7" s="42" t="str">
        <x:v>安装 croniter 6.2.2；准备固定输入和基准时间</x:v>
      </x:c>
      <x:c r="H7" s="42" t="str">
        <x:v>按 croniter() 解析 设计的有效/无效 cron 表达式及固定 datetime</x:v>
      </x:c>
      <x:c r="I7" s="42" t="str">
        <x:v>调用 croniter() 解析 对应接口，记录返回值/异常并与预期比较</x:v>
      </x:c>
      <x:c r="J7" s="42" t="str">
        <x:v>返回符合 cron 语义的结果或按规范抛出异常</x:v>
      </x:c>
      <x:c r="K7" s="42" t="str">
        <x:v>OK</x:v>
      </x:c>
      <x:c r="L7" s="42" t="str">
        <x:v>OK</x:v>
      </x:c>
      <x:c r="M7" s="42" t="str">
        <x:v>等价类；自动化测试 test_croniter.py；参数化用例</x:v>
      </x:c>
      <x:c r="N7" s="43"/>
    </x:row>
    <x:row r="8">
      <x:c r="A8" s="42" t="str">
        <x:v>CRON-UT-007</x:v>
      </x:c>
      <x:c r="B8" s="42" t="str">
        <x:v>croniter() 解析</x:v>
      </x:c>
      <x:c r="C8" s="42" t="str">
        <x:v>等价类测试：croniter() 解析（用例 7）</x:v>
      </x:c>
      <x:c r="D8" s="42" t="str">
        <x:v>高</x:v>
      </x:c>
      <x:c r="E8" s="42" t="str">
        <x:v>是</x:v>
      </x:c>
      <x:c r="F8" s="42" t="str">
        <x:v>否</x:v>
      </x:c>
      <x:c r="G8" s="42" t="str">
        <x:v>安装 croniter 6.2.2；准备固定输入和基准时间</x:v>
      </x:c>
      <x:c r="H8" s="42" t="str">
        <x:v>按 croniter() 解析 设计的有效/无效 cron 表达式及固定 datetime</x:v>
      </x:c>
      <x:c r="I8" s="42" t="str">
        <x:v>调用 croniter() 解析 对应接口，记录返回值/异常并与预期比较</x:v>
      </x:c>
      <x:c r="J8" s="42" t="str">
        <x:v>返回符合 cron 语义的结果或按规范抛出异常</x:v>
      </x:c>
      <x:c r="K8" s="42" t="str">
        <x:v>OK</x:v>
      </x:c>
      <x:c r="L8" s="42" t="str">
        <x:v>OK</x:v>
      </x:c>
      <x:c r="M8" s="42" t="str">
        <x:v>等价类；自动化测试 test_croniter.py；参数化用例</x:v>
      </x:c>
      <x:c r="N8" s="43"/>
    </x:row>
    <x:row r="9">
      <x:c r="A9" s="42" t="str">
        <x:v>CRON-UT-008</x:v>
      </x:c>
      <x:c r="B9" s="42" t="str">
        <x:v>croniter() 解析</x:v>
      </x:c>
      <x:c r="C9" s="42" t="str">
        <x:v>等价类测试：croniter() 解析（用例 8）</x:v>
      </x:c>
      <x:c r="D9" s="42" t="str">
        <x:v>高</x:v>
      </x:c>
      <x:c r="E9" s="42" t="str">
        <x:v>是</x:v>
      </x:c>
      <x:c r="F9" s="42" t="str">
        <x:v>否</x:v>
      </x:c>
      <x:c r="G9" s="42" t="str">
        <x:v>安装 croniter 6.2.2；准备固定输入和基准时间</x:v>
      </x:c>
      <x:c r="H9" s="42" t="str">
        <x:v>按 croniter() 解析 设计的有效/无效 cron 表达式及固定 datetime</x:v>
      </x:c>
      <x:c r="I9" s="42" t="str">
        <x:v>调用 croniter() 解析 对应接口，记录返回值/异常并与预期比较</x:v>
      </x:c>
      <x:c r="J9" s="42" t="str">
        <x:v>返回符合 cron 语义的结果或按规范抛出异常</x:v>
      </x:c>
      <x:c r="K9" s="42" t="str">
        <x:v>OK</x:v>
      </x:c>
      <x:c r="L9" s="42" t="str">
        <x:v>OK</x:v>
      </x:c>
      <x:c r="M9" s="42" t="str">
        <x:v>等价类；自动化测试 test_croniter.py；参数化用例</x:v>
      </x:c>
      <x:c r="N9" s="43"/>
    </x:row>
    <x:row r="10">
      <x:c r="A10" s="42" t="str">
        <x:v>CRON-UT-009</x:v>
      </x:c>
      <x:c r="B10" s="42" t="str">
        <x:v>croniter() 解析</x:v>
      </x:c>
      <x:c r="C10" s="42" t="str">
        <x:v>等价类测试：croniter() 解析（用例 9）</x:v>
      </x:c>
      <x:c r="D10" s="42" t="str">
        <x:v>高</x:v>
      </x:c>
      <x:c r="E10" s="42" t="str">
        <x:v>是</x:v>
      </x:c>
      <x:c r="F10" s="42" t="str">
        <x:v>否</x:v>
      </x:c>
      <x:c r="G10" s="42" t="str">
        <x:v>安装 croniter 6.2.2；准备固定输入和基准时间</x:v>
      </x:c>
      <x:c r="H10" s="42" t="str">
        <x:v>按 croniter() 解析 设计的有效/无效 cron 表达式及固定 datetime</x:v>
      </x:c>
      <x:c r="I10" s="42" t="str">
        <x:v>调用 croniter() 解析 对应接口，记录返回值/异常并与预期比较</x:v>
      </x:c>
      <x:c r="J10" s="42" t="str">
        <x:v>返回符合 cron 语义的结果或按规范抛出异常</x:v>
      </x:c>
      <x:c r="K10" s="42" t="str">
        <x:v>OK</x:v>
      </x:c>
      <x:c r="L10" s="42" t="str">
        <x:v>OK</x:v>
      </x:c>
      <x:c r="M10" s="42" t="str">
        <x:v>等价类；自动化测试 test_croniter.py；参数化用例</x:v>
      </x:c>
      <x:c r="N10" s="43"/>
    </x:row>
    <x:row r="11">
      <x:c r="A11" s="42" t="str">
        <x:v>CRON-UT-010</x:v>
      </x:c>
      <x:c r="B11" s="42" t="str">
        <x:v>croniter() 解析</x:v>
      </x:c>
      <x:c r="C11" s="42" t="str">
        <x:v>等价类测试：croniter() 解析（用例 10）</x:v>
      </x:c>
      <x:c r="D11" s="42" t="str">
        <x:v>高</x:v>
      </x:c>
      <x:c r="E11" s="42" t="str">
        <x:v>是</x:v>
      </x:c>
      <x:c r="F11" s="42" t="str">
        <x:v>否</x:v>
      </x:c>
      <x:c r="G11" s="42" t="str">
        <x:v>安装 croniter 6.2.2；准备固定输入和基准时间</x:v>
      </x:c>
      <x:c r="H11" s="42" t="str">
        <x:v>按 croniter() 解析 设计的有效/无效 cron 表达式及固定 datetime</x:v>
      </x:c>
      <x:c r="I11" s="42" t="str">
        <x:v>调用 croniter() 解析 对应接口，记录返回值/异常并与预期比较</x:v>
      </x:c>
      <x:c r="J11" s="42" t="str">
        <x:v>返回符合 cron 语义的结果或按规范抛出异常</x:v>
      </x:c>
      <x:c r="K11" s="42" t="str">
        <x:v>OK</x:v>
      </x:c>
      <x:c r="L11" s="42" t="str">
        <x:v>OK</x:v>
      </x:c>
      <x:c r="M11" s="42" t="str">
        <x:v>等价类；自动化测试 test_croniter.py；参数化用例</x:v>
      </x:c>
      <x:c r="N11" s="43"/>
    </x:row>
    <x:row r="12">
      <x:c r="A12" s="42" t="str">
        <x:v>CRON-UT-011</x:v>
      </x:c>
      <x:c r="B12" s="42" t="str">
        <x:v>croniter() 解析</x:v>
      </x:c>
      <x:c r="C12" s="42" t="str">
        <x:v>等价类测试：croniter() 解析（用例 11）</x:v>
      </x:c>
      <x:c r="D12" s="42" t="str">
        <x:v>高</x:v>
      </x:c>
      <x:c r="E12" s="42" t="str">
        <x:v>是</x:v>
      </x:c>
      <x:c r="F12" s="42" t="str">
        <x:v>否</x:v>
      </x:c>
      <x:c r="G12" s="42" t="str">
        <x:v>安装 croniter 6.2.2；准备固定输入和基准时间</x:v>
      </x:c>
      <x:c r="H12" s="42" t="str">
        <x:v>按 croniter() 解析 设计的有效/无效 cron 表达式及固定 datetime</x:v>
      </x:c>
      <x:c r="I12" s="42" t="str">
        <x:v>调用 croniter() 解析 对应接口，记录返回值/异常并与预期比较</x:v>
      </x:c>
      <x:c r="J12" s="42" t="str">
        <x:v>返回符合 cron 语义的结果或按规范抛出异常</x:v>
      </x:c>
      <x:c r="K12" s="42" t="str">
        <x:v>OK</x:v>
      </x:c>
      <x:c r="L12" s="42" t="str">
        <x:v>OK</x:v>
      </x:c>
      <x:c r="M12" s="42" t="str">
        <x:v>等价类；自动化测试 test_croniter.py；参数化用例</x:v>
      </x:c>
      <x:c r="N12" s="43"/>
    </x:row>
    <x:row r="13">
      <x:c r="A13" s="42" t="str">
        <x:v>CRON-UT-012</x:v>
      </x:c>
      <x:c r="B13" s="42" t="str">
        <x:v>croniter() 解析</x:v>
      </x:c>
      <x:c r="C13" s="42" t="str">
        <x:v>等价类测试：croniter() 解析（用例 12）</x:v>
      </x:c>
      <x:c r="D13" s="42" t="str">
        <x:v>高</x:v>
      </x:c>
      <x:c r="E13" s="42" t="str">
        <x:v>是</x:v>
      </x:c>
      <x:c r="F13" s="42" t="str">
        <x:v>否</x:v>
      </x:c>
      <x:c r="G13" s="42" t="str">
        <x:v>安装 croniter 6.2.2；准备固定输入和基准时间</x:v>
      </x:c>
      <x:c r="H13" s="42" t="str">
        <x:v>按 croniter() 解析 设计的有效/无效 cron 表达式及固定 datetime</x:v>
      </x:c>
      <x:c r="I13" s="42" t="str">
        <x:v>调用 croniter() 解析 对应接口，记录返回值/异常并与预期比较</x:v>
      </x:c>
      <x:c r="J13" s="42" t="str">
        <x:v>返回符合 cron 语义的结果或按规范抛出异常</x:v>
      </x:c>
      <x:c r="K13" s="42" t="str">
        <x:v>OK</x:v>
      </x:c>
      <x:c r="L13" s="42" t="str">
        <x:v>OK</x:v>
      </x:c>
      <x:c r="M13" s="42" t="str">
        <x:v>等价类；自动化测试 test_croniter.py；参数化用例</x:v>
      </x:c>
      <x:c r="N13" s="43"/>
    </x:row>
    <x:row r="14">
      <x:c r="A14" s="42" t="str">
        <x:v>CRON-UT-013</x:v>
      </x:c>
      <x:c r="B14" s="42" t="str">
        <x:v>get_next()/get_prev() 迭代</x:v>
      </x:c>
      <x:c r="C14" s="42" t="str">
        <x:v>边界值测试：get_next()/get_prev() 迭代（用例 13）</x:v>
      </x:c>
      <x:c r="D14" s="42" t="str">
        <x:v>中</x:v>
      </x:c>
      <x:c r="E14" s="42" t="str">
        <x:v>是</x:v>
      </x:c>
      <x:c r="F14" s="42" t="str">
        <x:v>否</x:v>
      </x:c>
      <x:c r="G14" s="42" t="str">
        <x:v>安装 croniter 6.2.2；准备固定输入和基准时间</x:v>
      </x:c>
      <x:c r="H14" s="42" t="str">
        <x:v>按 get_next()/get_prev() 迭代 设计的有效/无效 cron 表达式及固定 datetime</x:v>
      </x:c>
      <x:c r="I14" s="42" t="str">
        <x:v>调用 get_next()/get_prev() 迭代 对应接口，记录返回值/异常并与预期比较</x:v>
      </x:c>
      <x:c r="J14" s="42" t="str">
        <x:v>返回符合 cron 语义的结果或按规范抛出异常</x:v>
      </x:c>
      <x:c r="K14" s="42" t="str">
        <x:v>OK</x:v>
      </x:c>
      <x:c r="L14" s="42" t="str">
        <x:v>OK</x:v>
      </x:c>
      <x:c r="M14" s="42" t="str">
        <x:v>边界值；自动化测试 test_croniter.py；参数化用例</x:v>
      </x:c>
      <x:c r="N14" s="43"/>
    </x:row>
    <x:row r="15">
      <x:c r="A15" s="42" t="str">
        <x:v>CRON-UT-014</x:v>
      </x:c>
      <x:c r="B15" s="42" t="str">
        <x:v>get_next()/get_prev() 迭代</x:v>
      </x:c>
      <x:c r="C15" s="42" t="str">
        <x:v>边界值测试：get_next()/get_prev() 迭代（用例 14）</x:v>
      </x:c>
      <x:c r="D15" s="42" t="str">
        <x:v>中</x:v>
      </x:c>
      <x:c r="E15" s="42" t="str">
        <x:v>是</x:v>
      </x:c>
      <x:c r="F15" s="42" t="str">
        <x:v>否</x:v>
      </x:c>
      <x:c r="G15" s="42" t="str">
        <x:v>安装 croniter 6.2.2；准备固定输入和基准时间</x:v>
      </x:c>
      <x:c r="H15" s="42" t="str">
        <x:v>按 get_next()/get_prev() 迭代 设计的有效/无效 cron 表达式及固定 datetime</x:v>
      </x:c>
      <x:c r="I15" s="42" t="str">
        <x:v>调用 get_next()/get_prev() 迭代 对应接口，记录返回值/异常并与预期比较</x:v>
      </x:c>
      <x:c r="J15" s="42" t="str">
        <x:v>返回符合 cron 语义的结果或按规范抛出异常</x:v>
      </x:c>
      <x:c r="K15" s="42" t="str">
        <x:v>OK</x:v>
      </x:c>
      <x:c r="L15" s="42" t="str">
        <x:v>OK</x:v>
      </x:c>
      <x:c r="M15" s="42" t="str">
        <x:v>边界值；自动化测试 test_croniter.py；参数化用例</x:v>
      </x:c>
      <x:c r="N15" s="43"/>
    </x:row>
    <x:row r="16">
      <x:c r="A16" s="42" t="str">
        <x:v>CRON-UT-015</x:v>
      </x:c>
      <x:c r="B16" s="42" t="str">
        <x:v>get_next()/get_prev() 迭代</x:v>
      </x:c>
      <x:c r="C16" s="42" t="str">
        <x:v>边界值测试：get_next()/get_prev() 迭代（用例 15）</x:v>
      </x:c>
      <x:c r="D16" s="42" t="str">
        <x:v>中</x:v>
      </x:c>
      <x:c r="E16" s="42" t="str">
        <x:v>是</x:v>
      </x:c>
      <x:c r="F16" s="42" t="str">
        <x:v>否</x:v>
      </x:c>
      <x:c r="G16" s="42" t="str">
        <x:v>安装 croniter 6.2.2；准备固定输入和基准时间</x:v>
      </x:c>
      <x:c r="H16" s="42" t="str">
        <x:v>按 get_next()/get_prev() 迭代 设计的有效/无效 cron 表达式及固定 datetime</x:v>
      </x:c>
      <x:c r="I16" s="42" t="str">
        <x:v>调用 get_next()/get_prev() 迭代 对应接口，记录返回值/异常并与预期比较</x:v>
      </x:c>
      <x:c r="J16" s="42" t="str">
        <x:v>返回符合 cron 语义的结果或按规范抛出异常</x:v>
      </x:c>
      <x:c r="K16" s="42" t="str">
        <x:v>OK</x:v>
      </x:c>
      <x:c r="L16" s="42" t="str">
        <x:v>OK</x:v>
      </x:c>
      <x:c r="M16" s="42" t="str">
        <x:v>边界值；自动化测试 test_croniter.py；参数化用例</x:v>
      </x:c>
      <x:c r="N16" s="43"/>
    </x:row>
    <x:row r="17">
      <x:c r="A17" s="42" t="str">
        <x:v>CRON-UT-016</x:v>
      </x:c>
      <x:c r="B17" s="42" t="str">
        <x:v>get_next()/get_prev() 迭代</x:v>
      </x:c>
      <x:c r="C17" s="42" t="str">
        <x:v>边界值测试：get_next()/get_prev() 迭代（用例 16）</x:v>
      </x:c>
      <x:c r="D17" s="42" t="str">
        <x:v>中</x:v>
      </x:c>
      <x:c r="E17" s="42" t="str">
        <x:v>是</x:v>
      </x:c>
      <x:c r="F17" s="42" t="str">
        <x:v>否</x:v>
      </x:c>
      <x:c r="G17" s="42" t="str">
        <x:v>安装 croniter 6.2.2；准备固定输入和基准时间</x:v>
      </x:c>
      <x:c r="H17" s="42" t="str">
        <x:v>按 get_next()/get_prev() 迭代 设计的有效/无效 cron 表达式及固定 datetime</x:v>
      </x:c>
      <x:c r="I17" s="42" t="str">
        <x:v>调用 get_next()/get_prev() 迭代 对应接口，记录返回值/异常并与预期比较</x:v>
      </x:c>
      <x:c r="J17" s="42" t="str">
        <x:v>返回符合 cron 语义的结果或按规范抛出异常</x:v>
      </x:c>
      <x:c r="K17" s="42" t="str">
        <x:v>OK</x:v>
      </x:c>
      <x:c r="L17" s="42" t="str">
        <x:v>OK</x:v>
      </x:c>
      <x:c r="M17" s="42" t="str">
        <x:v>边界值；自动化测试 test_croniter.py；参数化用例</x:v>
      </x:c>
      <x:c r="N17" s="43"/>
    </x:row>
    <x:row r="18">
      <x:c r="A18" s="42" t="str">
        <x:v>CRON-UT-017</x:v>
      </x:c>
      <x:c r="B18" s="42" t="str">
        <x:v>get_next()/get_prev() 迭代</x:v>
      </x:c>
      <x:c r="C18" s="42" t="str">
        <x:v>边界值测试：get_next()/get_prev() 迭代（用例 17）</x:v>
      </x:c>
      <x:c r="D18" s="42" t="str">
        <x:v>中</x:v>
      </x:c>
      <x:c r="E18" s="42" t="str">
        <x:v>是</x:v>
      </x:c>
      <x:c r="F18" s="42" t="str">
        <x:v>否</x:v>
      </x:c>
      <x:c r="G18" s="42" t="str">
        <x:v>安装 croniter 6.2.2；准备固定输入和基准时间</x:v>
      </x:c>
      <x:c r="H18" s="42" t="str">
        <x:v>按 get_next()/get_prev() 迭代 设计的有效/无效 cron 表达式及固定 datetime</x:v>
      </x:c>
      <x:c r="I18" s="42" t="str">
        <x:v>调用 get_next()/get_prev() 迭代 对应接口，记录返回值/异常并与预期比较</x:v>
      </x:c>
      <x:c r="J18" s="42" t="str">
        <x:v>返回符合 cron 语义的结果或按规范抛出异常</x:v>
      </x:c>
      <x:c r="K18" s="42" t="str">
        <x:v>OK</x:v>
      </x:c>
      <x:c r="L18" s="42" t="str">
        <x:v>OK</x:v>
      </x:c>
      <x:c r="M18" s="42" t="str">
        <x:v>边界值；自动化测试 test_croniter.py；参数化用例</x:v>
      </x:c>
      <x:c r="N18" s="43"/>
    </x:row>
    <x:row r="19">
      <x:c r="A19" s="42" t="str">
        <x:v>CRON-UT-018</x:v>
      </x:c>
      <x:c r="B19" s="42" t="str">
        <x:v>get_next()/get_prev() 迭代</x:v>
      </x:c>
      <x:c r="C19" s="42" t="str">
        <x:v>边界值测试：get_next()/get_prev() 迭代（用例 18）</x:v>
      </x:c>
      <x:c r="D19" s="42" t="str">
        <x:v>中</x:v>
      </x:c>
      <x:c r="E19" s="42" t="str">
        <x:v>是</x:v>
      </x:c>
      <x:c r="F19" s="42" t="str">
        <x:v>否</x:v>
      </x:c>
      <x:c r="G19" s="42" t="str">
        <x:v>安装 croniter 6.2.2；准备固定输入和基准时间</x:v>
      </x:c>
      <x:c r="H19" s="42" t="str">
        <x:v>按 get_next()/get_prev() 迭代 设计的有效/无效 cron 表达式及固定 datetime</x:v>
      </x:c>
      <x:c r="I19" s="42" t="str">
        <x:v>调用 get_next()/get_prev() 迭代 对应接口，记录返回值/异常并与预期比较</x:v>
      </x:c>
      <x:c r="J19" s="42" t="str">
        <x:v>返回符合 cron 语义的结果或按规范抛出异常</x:v>
      </x:c>
      <x:c r="K19" s="42" t="str">
        <x:v>OK</x:v>
      </x:c>
      <x:c r="L19" s="42" t="str">
        <x:v>OK</x:v>
      </x:c>
      <x:c r="M19" s="42" t="str">
        <x:v>边界值；自动化测试 test_croniter.py；参数化用例</x:v>
      </x:c>
      <x:c r="N19" s="43"/>
    </x:row>
    <x:row r="20">
      <x:c r="A20" s="42" t="str">
        <x:v>CRON-UT-019</x:v>
      </x:c>
      <x:c r="B20" s="42" t="str">
        <x:v>get_next()/get_prev() 迭代</x:v>
      </x:c>
      <x:c r="C20" s="42" t="str">
        <x:v>边界值测试：get_next()/get_prev() 迭代（用例 19）</x:v>
      </x:c>
      <x:c r="D20" s="42" t="str">
        <x:v>中</x:v>
      </x:c>
      <x:c r="E20" s="42" t="str">
        <x:v>是</x:v>
      </x:c>
      <x:c r="F20" s="42" t="str">
        <x:v>否</x:v>
      </x:c>
      <x:c r="G20" s="42" t="str">
        <x:v>安装 croniter 6.2.2；准备固定输入和基准时间</x:v>
      </x:c>
      <x:c r="H20" s="42" t="str">
        <x:v>按 get_next()/get_prev() 迭代 设计的有效/无效 cron 表达式及固定 datetime</x:v>
      </x:c>
      <x:c r="I20" s="42" t="str">
        <x:v>调用 get_next()/get_prev() 迭代 对应接口，记录返回值/异常并与预期比较</x:v>
      </x:c>
      <x:c r="J20" s="42" t="str">
        <x:v>返回符合 cron 语义的结果或按规范抛出异常</x:v>
      </x:c>
      <x:c r="K20" s="42" t="str">
        <x:v>OK</x:v>
      </x:c>
      <x:c r="L20" s="42" t="str">
        <x:v>OK</x:v>
      </x:c>
      <x:c r="M20" s="42" t="str">
        <x:v>边界值；自动化测试 test_croniter.py；参数化用例</x:v>
      </x:c>
      <x:c r="N20" s="43"/>
    </x:row>
    <x:row r="21">
      <x:c r="A21" s="42" t="str">
        <x:v>CRON-UT-020</x:v>
      </x:c>
      <x:c r="B21" s="42" t="str">
        <x:v>get_next()/get_prev() 迭代</x:v>
      </x:c>
      <x:c r="C21" s="42" t="str">
        <x:v>边界值测试：get_next()/get_prev() 迭代（用例 20）</x:v>
      </x:c>
      <x:c r="D21" s="42" t="str">
        <x:v>中</x:v>
      </x:c>
      <x:c r="E21" s="42" t="str">
        <x:v>是</x:v>
      </x:c>
      <x:c r="F21" s="42" t="str">
        <x:v>否</x:v>
      </x:c>
      <x:c r="G21" s="42" t="str">
        <x:v>安装 croniter 6.2.2；准备固定输入和基准时间</x:v>
      </x:c>
      <x:c r="H21" s="42" t="str">
        <x:v>按 get_next()/get_prev() 迭代 设计的有效/无效 cron 表达式及固定 datetime</x:v>
      </x:c>
      <x:c r="I21" s="42" t="str">
        <x:v>调用 get_next()/get_prev() 迭代 对应接口，记录返回值/异常并与预期比较</x:v>
      </x:c>
      <x:c r="J21" s="42" t="str">
        <x:v>返回符合 cron 语义的结果或按规范抛出异常</x:v>
      </x:c>
      <x:c r="K21" s="42" t="str">
        <x:v>OK</x:v>
      </x:c>
      <x:c r="L21" s="42" t="str">
        <x:v>OK</x:v>
      </x:c>
      <x:c r="M21" s="42" t="str">
        <x:v>边界值；自动化测试 test_croniter.py；参数化用例</x:v>
      </x:c>
      <x:c r="N21" s="43"/>
    </x:row>
    <x:row r="22">
      <x:c r="A22" s="42" t="str">
        <x:v>CRON-UT-021</x:v>
      </x:c>
      <x:c r="B22" s="42" t="str">
        <x:v>match()/match_range()</x:v>
      </x:c>
      <x:c r="C22" s="42" t="str">
        <x:v>边界值测试：match()/match_range()（用例 21）</x:v>
      </x:c>
      <x:c r="D22" s="42" t="str">
        <x:v>中</x:v>
      </x:c>
      <x:c r="E22" s="42" t="str">
        <x:v>是</x:v>
      </x:c>
      <x:c r="F22" s="42" t="str">
        <x:v>否</x:v>
      </x:c>
      <x:c r="G22" s="42" t="str">
        <x:v>安装 croniter 6.2.2；准备固定输入和基准时间</x:v>
      </x:c>
      <x:c r="H22" s="42" t="str">
        <x:v>按 match()/match_range() 设计的有效/无效 cron 表达式及固定 datetime</x:v>
      </x:c>
      <x:c r="I22" s="42" t="str">
        <x:v>调用 match()/match_range() 对应接口，记录返回值/异常并与预期比较</x:v>
      </x:c>
      <x:c r="J22" s="42" t="str">
        <x:v>返回符合 cron 语义的结果或按规范抛出异常</x:v>
      </x:c>
      <x:c r="K22" s="42" t="str">
        <x:v>OK</x:v>
      </x:c>
      <x:c r="L22" s="42" t="str">
        <x:v>OK</x:v>
      </x:c>
      <x:c r="M22" s="42" t="str">
        <x:v>边界值；自动化测试 test_croniter.py；参数化用例</x:v>
      </x:c>
      <x:c r="N22" s="43"/>
    </x:row>
    <x:row r="23">
      <x:c r="A23" s="42" t="str">
        <x:v>CRON-UT-022</x:v>
      </x:c>
      <x:c r="B23" s="42" t="str">
        <x:v>match()/match_range()</x:v>
      </x:c>
      <x:c r="C23" s="42" t="str">
        <x:v>边界值测试：match()/match_range()（用例 22）</x:v>
      </x:c>
      <x:c r="D23" s="42" t="str">
        <x:v>中</x:v>
      </x:c>
      <x:c r="E23" s="42" t="str">
        <x:v>是</x:v>
      </x:c>
      <x:c r="F23" s="42" t="str">
        <x:v>否</x:v>
      </x:c>
      <x:c r="G23" s="42" t="str">
        <x:v>安装 croniter 6.2.2；准备固定输入和基准时间</x:v>
      </x:c>
      <x:c r="H23" s="42" t="str">
        <x:v>按 match()/match_range() 设计的有效/无效 cron 表达式及固定 datetime</x:v>
      </x:c>
      <x:c r="I23" s="42" t="str">
        <x:v>调用 match()/match_range() 对应接口，记录返回值/异常并与预期比较</x:v>
      </x:c>
      <x:c r="J23" s="42" t="str">
        <x:v>返回符合 cron 语义的结果或按规范抛出异常</x:v>
      </x:c>
      <x:c r="K23" s="42" t="str">
        <x:v>OK</x:v>
      </x:c>
      <x:c r="L23" s="42" t="str">
        <x:v>OK</x:v>
      </x:c>
      <x:c r="M23" s="42" t="str">
        <x:v>边界值；自动化测试 test_croniter.py；参数化用例</x:v>
      </x:c>
      <x:c r="N23" s="43"/>
    </x:row>
    <x:row r="24">
      <x:c r="A24" s="42" t="str">
        <x:v>CRON-UT-023</x:v>
      </x:c>
      <x:c r="B24" s="42" t="str">
        <x:v>match()/match_range()</x:v>
      </x:c>
      <x:c r="C24" s="42" t="str">
        <x:v>边界值测试：match()/match_range()（用例 23）</x:v>
      </x:c>
      <x:c r="D24" s="42" t="str">
        <x:v>中</x:v>
      </x:c>
      <x:c r="E24" s="42" t="str">
        <x:v>是</x:v>
      </x:c>
      <x:c r="F24" s="42" t="str">
        <x:v>否</x:v>
      </x:c>
      <x:c r="G24" s="42" t="str">
        <x:v>安装 croniter 6.2.2；准备固定输入和基准时间</x:v>
      </x:c>
      <x:c r="H24" s="42" t="str">
        <x:v>按 match()/match_range() 设计的有效/无效 cron 表达式及固定 datetime</x:v>
      </x:c>
      <x:c r="I24" s="42" t="str">
        <x:v>调用 match()/match_range() 对应接口，记录返回值/异常并与预期比较</x:v>
      </x:c>
      <x:c r="J24" s="42" t="str">
        <x:v>返回符合 cron 语义的结果或按规范抛出异常</x:v>
      </x:c>
      <x:c r="K24" s="42" t="str">
        <x:v>OK</x:v>
      </x:c>
      <x:c r="L24" s="42" t="str">
        <x:v>OK</x:v>
      </x:c>
      <x:c r="M24" s="42" t="str">
        <x:v>边界值；自动化测试 test_croniter.py；参数化用例</x:v>
      </x:c>
      <x:c r="N24" s="43"/>
    </x:row>
    <x:row r="25">
      <x:c r="A25" s="42" t="str">
        <x:v>CRON-UT-024</x:v>
      </x:c>
      <x:c r="B25" s="42" t="str">
        <x:v>match()/match_range()</x:v>
      </x:c>
      <x:c r="C25" s="42" t="str">
        <x:v>边界值测试：match()/match_range()（用例 24）</x:v>
      </x:c>
      <x:c r="D25" s="42" t="str">
        <x:v>中</x:v>
      </x:c>
      <x:c r="E25" s="42" t="str">
        <x:v>是</x:v>
      </x:c>
      <x:c r="F25" s="42" t="str">
        <x:v>否</x:v>
      </x:c>
      <x:c r="G25" s="42" t="str">
        <x:v>安装 croniter 6.2.2；准备固定输入和基准时间</x:v>
      </x:c>
      <x:c r="H25" s="42" t="str">
        <x:v>按 match()/match_range() 设计的有效/无效 cron 表达式及固定 datetime</x:v>
      </x:c>
      <x:c r="I25" s="42" t="str">
        <x:v>调用 match()/match_range() 对应接口，记录返回值/异常并与预期比较</x:v>
      </x:c>
      <x:c r="J25" s="42" t="str">
        <x:v>返回符合 cron 语义的结果或按规范抛出异常</x:v>
      </x:c>
      <x:c r="K25" s="42" t="str">
        <x:v>OK</x:v>
      </x:c>
      <x:c r="L25" s="42" t="str">
        <x:v>OK</x:v>
      </x:c>
      <x:c r="M25" s="42" t="str">
        <x:v>边界值；自动化测试 test_croniter.py；参数化用例</x:v>
      </x:c>
      <x:c r="N25" s="43"/>
    </x:row>
    <x:row r="26">
      <x:c r="A26" s="42" t="str">
        <x:v>CRON-UT-025</x:v>
      </x:c>
      <x:c r="B26" s="42" t="str">
        <x:v>croniter_range()</x:v>
      </x:c>
      <x:c r="C26" s="42" t="str">
        <x:v>场景法/状态转换测试：croniter_range()（用例 25）</x:v>
      </x:c>
      <x:c r="D26" s="42" t="str">
        <x:v>低</x:v>
      </x:c>
      <x:c r="E26" s="42" t="str">
        <x:v>是</x:v>
      </x:c>
      <x:c r="F26" s="42" t="str">
        <x:v>否</x:v>
      </x:c>
      <x:c r="G26" s="42" t="str">
        <x:v>安装 croniter 6.2.2；准备固定输入和基准时间</x:v>
      </x:c>
      <x:c r="H26" s="42" t="str">
        <x:v>按 croniter_range() 设计的有效/无效 cron 表达式及固定 datetime</x:v>
      </x:c>
      <x:c r="I26" s="42" t="str">
        <x:v>调用 croniter_range() 对应接口，记录返回值/异常并与预期比较</x:v>
      </x:c>
      <x:c r="J26" s="42" t="str">
        <x:v>返回符合 cron 语义的结果或按规范抛出异常</x:v>
      </x:c>
      <x:c r="K26" s="42" t="str">
        <x:v>OK</x:v>
      </x:c>
      <x:c r="L26" s="42" t="str">
        <x:v>OK</x:v>
      </x:c>
      <x:c r="M26" s="42" t="str">
        <x:v>场景法/状态转换；自动化测试 test_croniter.py；参数化用例</x:v>
      </x:c>
      <x:c r="N26" s="43"/>
    </x:row>
    <x:row r="27">
      <x:c r="A27" s="42" t="str">
        <x:v>CRON-UT-026</x:v>
      </x:c>
      <x:c r="B27" s="42" t="str">
        <x:v>croniter_range()</x:v>
      </x:c>
      <x:c r="C27" s="42" t="str">
        <x:v>场景法/状态转换测试：croniter_range()（用例 26）</x:v>
      </x:c>
      <x:c r="D27" s="42" t="str">
        <x:v>低</x:v>
      </x:c>
      <x:c r="E27" s="42" t="str">
        <x:v>是</x:v>
      </x:c>
      <x:c r="F27" s="42" t="str">
        <x:v>否</x:v>
      </x:c>
      <x:c r="G27" s="42" t="str">
        <x:v>安装 croniter 6.2.2；准备固定输入和基准时间</x:v>
      </x:c>
      <x:c r="H27" s="42" t="str">
        <x:v>按 croniter_range() 设计的有效/无效 cron 表达式及固定 datetime</x:v>
      </x:c>
      <x:c r="I27" s="42" t="str">
        <x:v>调用 croniter_range() 对应接口，记录返回值/异常并与预期比较</x:v>
      </x:c>
      <x:c r="J27" s="42" t="str">
        <x:v>返回符合 cron 语义的结果或按规范抛出异常</x:v>
      </x:c>
      <x:c r="K27" s="42" t="str">
        <x:v>OK</x:v>
      </x:c>
      <x:c r="L27" s="42" t="str">
        <x:v>OK</x:v>
      </x:c>
      <x:c r="M27" s="42" t="str">
        <x:v>场景法/状态转换；自动化测试 test_croniter.py；参数化用例</x:v>
      </x:c>
      <x:c r="N27" s="43"/>
    </x:row>
    <x:row r="28">
      <x:c r="A28" s="42" t="str">
        <x:v>CRON-UT-027</x:v>
      </x:c>
      <x:c r="B28" s="42" t="str">
        <x:v>croniter_range()</x:v>
      </x:c>
      <x:c r="C28" s="42" t="str">
        <x:v>场景法/状态转换测试：croniter_range()（用例 27）</x:v>
      </x:c>
      <x:c r="D28" s="42" t="str">
        <x:v>低</x:v>
      </x:c>
      <x:c r="E28" s="42" t="str">
        <x:v>是</x:v>
      </x:c>
      <x:c r="F28" s="42" t="str">
        <x:v>否</x:v>
      </x:c>
      <x:c r="G28" s="42" t="str">
        <x:v>安装 croniter 6.2.2；准备固定输入和基准时间</x:v>
      </x:c>
      <x:c r="H28" s="42" t="str">
        <x:v>按 croniter_range() 设计的有效/无效 cron 表达式及固定 datetime</x:v>
      </x:c>
      <x:c r="I28" s="42" t="str">
        <x:v>调用 croniter_range() 对应接口，记录返回值/异常并与预期比较</x:v>
      </x:c>
      <x:c r="J28" s="42" t="str">
        <x:v>返回符合 cron 语义的结果或按规范抛出异常</x:v>
      </x:c>
      <x:c r="K28" s="42" t="str">
        <x:v>OK</x:v>
      </x:c>
      <x:c r="L28" s="42" t="str">
        <x:v>OK</x:v>
      </x:c>
      <x:c r="M28" s="42" t="str">
        <x:v>场景法/状态转换；自动化测试 test_croniter.py；参数化用例</x:v>
      </x:c>
      <x:c r="N28" s="43"/>
    </x:row>
    <x:row r="29">
      <x:c r="A29" s="42" t="str">
        <x:v>CRON-UT-028</x:v>
      </x:c>
      <x:c r="B29" s="42" t="str">
        <x:v>croniter_range()</x:v>
      </x:c>
      <x:c r="C29" s="42" t="str">
        <x:v>场景法/状态转换测试：croniter_range()（用例 28）</x:v>
      </x:c>
      <x:c r="D29" s="42" t="str">
        <x:v>低</x:v>
      </x:c>
      <x:c r="E29" s="42" t="str">
        <x:v>是</x:v>
      </x:c>
      <x:c r="F29" s="42" t="str">
        <x:v>否</x:v>
      </x:c>
      <x:c r="G29" s="42" t="str">
        <x:v>安装 croniter 6.2.2；准备固定输入和基准时间</x:v>
      </x:c>
      <x:c r="H29" s="42" t="str">
        <x:v>按 croniter_range() 设计的有效/无效 cron 表达式及固定 datetime</x:v>
      </x:c>
      <x:c r="I29" s="42" t="str">
        <x:v>调用 croniter_range() 对应接口，记录返回值/异常并与预期比较</x:v>
      </x:c>
      <x:c r="J29" s="42" t="str">
        <x:v>返回符合 cron 语义的结果或按规范抛出异常</x:v>
      </x:c>
      <x:c r="K29" s="42" t="str">
        <x:v>OK</x:v>
      </x:c>
      <x:c r="L29" s="42" t="str">
        <x:v>OK</x:v>
      </x:c>
      <x:c r="M29" s="42" t="str">
        <x:v>场景法/状态转换；自动化测试 test_croniter.py；参数化用例</x:v>
      </x:c>
      <x:c r="N29" s="43"/>
    </x:row>
    <x:row r="30">
      <x:c r="A30" s="42" t="str">
        <x:v>CRON-UT-029</x:v>
      </x:c>
      <x:c r="B30" s="42" t="str">
        <x:v>时区与起始时间展开</x:v>
      </x:c>
      <x:c r="C30" s="42" t="str">
        <x:v>场景法/状态转换测试：时区与起始时间展开（用例 29）</x:v>
      </x:c>
      <x:c r="D30" s="42" t="str">
        <x:v>低</x:v>
      </x:c>
      <x:c r="E30" s="42" t="str">
        <x:v>是</x:v>
      </x:c>
      <x:c r="F30" s="42" t="str">
        <x:v>否</x:v>
      </x:c>
      <x:c r="G30" s="42" t="str">
        <x:v>安装 croniter 6.2.2；准备固定输入和基准时间</x:v>
      </x:c>
      <x:c r="H30" s="42" t="str">
        <x:v>按 时区与起始时间展开 设计的有效/无效 cron 表达式及固定 datetime</x:v>
      </x:c>
      <x:c r="I30" s="42" t="str">
        <x:v>调用 时区与起始时间展开 对应接口，记录返回值/异常并与预期比较</x:v>
      </x:c>
      <x:c r="J30" s="42" t="str">
        <x:v>返回符合 cron 语义的结果或按规范抛出异常</x:v>
      </x:c>
      <x:c r="K30" s="42" t="str">
        <x:v>OK</x:v>
      </x:c>
      <x:c r="L30" s="42" t="str">
        <x:v>OK</x:v>
      </x:c>
      <x:c r="M30" s="42" t="str">
        <x:v>场景法/状态转换；自动化测试 test_croniter.py；参数化用例</x:v>
      </x:c>
      <x:c r="N30" s="43"/>
    </x:row>
    <x:row r="31">
      <x:c r="A31" s="42" t="str">
        <x:v>CRON-UT-030</x:v>
      </x:c>
      <x:c r="B31" s="42" t="str">
        <x:v>时区与起始时间展开</x:v>
      </x:c>
      <x:c r="C31" s="42" t="str">
        <x:v>场景法/状态转换测试：时区与起始时间展开（用例 30）</x:v>
      </x:c>
      <x:c r="D31" s="42" t="str">
        <x:v>低</x:v>
      </x:c>
      <x:c r="E31" s="42" t="str">
        <x:v>是</x:v>
      </x:c>
      <x:c r="F31" s="42" t="str">
        <x:v>否</x:v>
      </x:c>
      <x:c r="G31" s="42" t="str">
        <x:v>安装 croniter 6.2.2；准备固定输入和基准时间</x:v>
      </x:c>
      <x:c r="H31" s="42" t="str">
        <x:v>按 时区与起始时间展开 设计的有效/无效 cron 表达式及固定 datetime</x:v>
      </x:c>
      <x:c r="I31" s="42" t="str">
        <x:v>调用 时区与起始时间展开 对应接口，记录返回值/异常并与预期比较</x:v>
      </x:c>
      <x:c r="J31" s="42" t="str">
        <x:v>返回符合 cron 语义的结果或按规范抛出异常</x:v>
      </x:c>
      <x:c r="K31" s="42" t="str">
        <x:v>OK</x:v>
      </x:c>
      <x:c r="L31" s="42" t="str">
        <x:v>OK</x:v>
      </x:c>
      <x:c r="M31" s="42" t="str">
        <x:v>场景法/状态转换；自动化测试 test_croniter.py；参数化用例</x:v>
      </x:c>
      <x:c r="N31" s="43"/>
    </x:row>
    <x:row r="32">
      <x:c r="A32" s="42" t="str">
        <x:v>CRON-UT-031</x:v>
      </x:c>
      <x:c r="B32" s="42" t="str">
        <x:v>时区与起始时间展开</x:v>
      </x:c>
      <x:c r="C32" s="42" t="str">
        <x:v>场景法/状态转换测试：时区与起始时间展开（用例 31）</x:v>
      </x:c>
      <x:c r="D32" s="42" t="str">
        <x:v>低</x:v>
      </x:c>
      <x:c r="E32" s="42" t="str">
        <x:v>是</x:v>
      </x:c>
      <x:c r="F32" s="42" t="str">
        <x:v>否</x:v>
      </x:c>
      <x:c r="G32" s="42" t="str">
        <x:v>安装 croniter 6.2.2；准备固定输入和基准时间</x:v>
      </x:c>
      <x:c r="H32" s="42" t="str">
        <x:v>按 时区与起始时间展开 设计的有效/无效 cron 表达式及固定 datetime</x:v>
      </x:c>
      <x:c r="I32" s="42" t="str">
        <x:v>调用 时区与起始时间展开 对应接口，记录返回值/异常并与预期比较</x:v>
      </x:c>
      <x:c r="J32" s="42" t="str">
        <x:v>返回符合 cron 语义的结果或按规范抛出异常</x:v>
      </x:c>
      <x:c r="K32" s="42" t="str">
        <x:v>OK</x:v>
      </x:c>
      <x:c r="L32" s="42" t="str">
        <x:v>OK</x:v>
      </x:c>
      <x:c r="M32" s="42" t="str">
        <x:v>场景法/状态转换；自动化测试 test_croniter.py；参数化用例</x:v>
      </x:c>
      <x:c r="N32" s="43"/>
    </x:row>
    <x:row r="33">
      <x:c r="A33" s="42" t="str">
        <x:v>CRON-UT-032</x:v>
      </x:c>
      <x:c r="B33" s="42" t="str">
        <x:v>时区与起始时间展开</x:v>
      </x:c>
      <x:c r="C33" s="42" t="str">
        <x:v>场景法/状态转换测试：时区与起始时间展开（用例 32）</x:v>
      </x:c>
      <x:c r="D33" s="42" t="str">
        <x:v>低</x:v>
      </x:c>
      <x:c r="E33" s="42" t="str">
        <x:v>是</x:v>
      </x:c>
      <x:c r="F33" s="42" t="str">
        <x:v>否</x:v>
      </x:c>
      <x:c r="G33" s="42" t="str">
        <x:v>安装 croniter 6.2.2；准备固定输入和基准时间</x:v>
      </x:c>
      <x:c r="H33" s="42" t="str">
        <x:v>按 时区与起始时间展开 设计的有效/无效 cron 表达式及固定 datetime</x:v>
      </x:c>
      <x:c r="I33" s="42" t="str">
        <x:v>调用 时区与起始时间展开 对应接口，记录返回值/异常并与预期比较</x:v>
      </x:c>
      <x:c r="J33" s="42" t="str">
        <x:v>返回符合 cron 语义的结果或按规范抛出异常</x:v>
      </x:c>
      <x:c r="K33" s="42" t="str">
        <x:v>OK</x:v>
      </x:c>
      <x:c r="L33" s="42" t="str">
        <x:v>OK</x:v>
      </x:c>
      <x:c r="M33" s="42" t="str">
        <x:v>场景法/状态转换；自动化测试 test_croniter.py；参数化用例</x:v>
      </x:c>
      <x:c r="N33" s="43"/>
    </x:row>
    <x:row r="34">
      <x:c r="A34" s="42" t="str">
        <x:v>CRON-UT-033</x:v>
      </x:c>
      <x:c r="B34" s="42" t="str">
        <x:v>历史缺陷回归</x:v>
      </x:c>
      <x:c r="C34" s="42" t="str">
        <x:v>回归：零步长范围应明确拒绝（#232）</x:v>
      </x:c>
      <x:c r="D34" s="42" t="str">
        <x:v>高</x:v>
      </x:c>
      <x:c r="E34" s="42" t="str">
        <x:v>是</x:v>
      </x:c>
      <x:c r="F34" s="42" t="str">
        <x:v>否</x:v>
      </x:c>
      <x:c r="G34" s="42" t="str">
        <x:v>安装 croniter 6.2.2；准备固定输入和基准时间</x:v>
      </x:c>
      <x:c r="H34" s="42" t="str">
        <x:v>5-5/0 * * * *</x:v>
      </x:c>
      <x:c r="I34" s="42" t="str">
        <x:v>调用 历史缺陷回归 对应接口，记录返回值/异常并与预期比较</x:v>
      </x:c>
      <x:c r="J34" s="42" t="str">
        <x:v>基线缺陷可复现；修复后符合缺陷报告中的预期并通过回归</x:v>
      </x:c>
      <x:c r="K34" s="42" t="str">
        <x:v>OK</x:v>
      </x:c>
      <x:c r="L34" s="42" t="str">
        <x:v>OK</x:v>
      </x:c>
      <x:c r="M34" s="42" t="str">
        <x:v>异常与回归；自动化测试 test_croniter.py；历史缺陷回归 CRON-D-001</x:v>
      </x:c>
      <x:c r="N34" s="43"/>
    </x:row>
    <x:row r="35">
      <x:c r="A35" s="42" t="str">
        <x:v>CRON-UT-034</x:v>
      </x:c>
      <x:c r="B35" s="42" t="str">
        <x:v>历史缺陷回归</x:v>
      </x:c>
      <x:c r="C35" s="42" t="str">
        <x:v>回归：expand_from_start_time 月份边界（#235）</x:v>
      </x:c>
      <x:c r="D35" s="42" t="str">
        <x:v>高</x:v>
      </x:c>
      <x:c r="E35" s="42" t="str">
        <x:v>是</x:v>
      </x:c>
      <x:c r="F35" s="42" t="str">
        <x:v>否</x:v>
      </x:c>
      <x:c r="G35" s="42" t="str">
        <x:v>安装 croniter 6.2.2；准备固定输入和基准时间</x:v>
      </x:c>
      <x:c r="H35" s="42" t="str">
        <x:v>0 0 1 */2 *</x:v>
      </x:c>
      <x:c r="I35" s="42" t="str">
        <x:v>调用 历史缺陷回归 对应接口，记录返回值/异常并与预期比较</x:v>
      </x:c>
      <x:c r="J35" s="42" t="str">
        <x:v>基线缺陷可复现；修复后符合缺陷报告中的预期并通过回归</x:v>
      </x:c>
      <x:c r="K35" s="42" t="str">
        <x:v>OK</x:v>
      </x:c>
      <x:c r="L35" s="42" t="str">
        <x:v>OK</x:v>
      </x:c>
      <x:c r="M35" s="42" t="str">
        <x:v>异常与回归；自动化测试 test_croniter.py；历史缺陷回归 CRON-D-002</x:v>
      </x:c>
      <x:c r="N35" s="43"/>
    </x:row>
    <x:row r="36">
      <x:c r="A36" s="42" t="str">
        <x:v>CRON-UT-035</x:v>
      </x:c>
      <x:c r="B36" s="42" t="str">
        <x:v>历史缺陷回归</x:v>
      </x:c>
      <x:c r="C36" s="42" t="str">
        <x:v>回归：Sunday 步进范围边界（#239）</x:v>
      </x:c>
      <x:c r="D36" s="42" t="str">
        <x:v>高</x:v>
      </x:c>
      <x:c r="E36" s="42" t="str">
        <x:v>是</x:v>
      </x:c>
      <x:c r="F36" s="42" t="str">
        <x:v>否</x:v>
      </x:c>
      <x:c r="G36" s="42" t="str">
        <x:v>安装 croniter 6.2.2；准备固定输入和基准时间</x:v>
      </x:c>
      <x:c r="H36" s="42" t="str">
        <x:v>0 0 * * 0</x:v>
      </x:c>
      <x:c r="I36" s="42" t="str">
        <x:v>调用 历史缺陷回归 对应接口，记录返回值/异常并与预期比较</x:v>
      </x:c>
      <x:c r="J36" s="42" t="str">
        <x:v>基线缺陷可复现；修复后符合缺陷报告中的预期并通过回归</x:v>
      </x:c>
      <x:c r="K36" s="42" t="str">
        <x:v>OK</x:v>
      </x:c>
      <x:c r="L36" s="42" t="str">
        <x:v>OK</x:v>
      </x:c>
      <x:c r="M36" s="42" t="str">
        <x:v>异常与回归；自动化测试 test_croniter.py；历史缺陷回归 CRON-D-003</x:v>
      </x:c>
      <x:c r="N36" s="43"/>
    </x:row>
    <x:row r="37">
      <x:c r="A37" s="42" t="str">
        <x:v>CRON-UT-036</x:v>
      </x:c>
      <x:c r="B37" s="42" t="str">
        <x:v>历史缺陷回归</x:v>
      </x:c>
      <x:c r="C37" s="42" t="str">
        <x:v>回归：修复后合法表达式行为保持</x:v>
      </x:c>
      <x:c r="D37" s="42" t="str">
        <x:v>高</x:v>
      </x:c>
      <x:c r="E37" s="42" t="str">
        <x:v>是</x:v>
      </x:c>
      <x:c r="F37" s="42" t="str">
        <x:v>否</x:v>
      </x:c>
      <x:c r="G37" s="42" t="str">
        <x:v>安装 croniter 6.2.2；准备固定输入和基准时间</x:v>
      </x:c>
      <x:c r="H37" s="42" t="str">
        <x:v>按 历史缺陷回归 设计的有效/无效 cron 表达式及固定 datetime</x:v>
      </x:c>
      <x:c r="I37" s="42" t="str">
        <x:v>调用 历史缺陷回归 对应接口，记录返回值/异常并与预期比较</x:v>
      </x:c>
      <x:c r="J37" s="42" t="str">
        <x:v>基线缺陷可复现；修复后符合缺陷报告中的预期并通过回归</x:v>
      </x:c>
      <x:c r="K37" s="42" t="str">
        <x:v>OK</x:v>
      </x:c>
      <x:c r="L37" s="42" t="str">
        <x:v>OK</x:v>
      </x:c>
      <x:c r="M37" s="42" t="str">
        <x:v>异常与回归；自动化测试 test_croniter.py；历史缺陷回归 CRON-D-004</x:v>
      </x:c>
      <x:c r="N37" s="43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3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3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3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3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3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3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3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3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3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3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3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3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3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3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3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3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3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3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3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3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3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3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3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3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3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3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3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3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3"/>
    </x:row>
    <x:row r="67">
      <x:c r="L67" s="42"/>
    </x:row>
    <x:row r="68">
      <x:c r="L68" s="42"/>
    </x:row>
    <x:row r="69">
      <x:c r="L69" s="42"/>
    </x:row>
    <x:row r="70">
      <x:c r="L70" s="42"/>
    </x:row>
    <x:row r="71">
      <x:c r="L71" s="42"/>
    </x:row>
    <x:row r="72">
      <x:c r="L72" s="42"/>
    </x:row>
    <x:row r="73">
      <x:c r="L73" s="42"/>
    </x:row>
    <x:row r="74">
      <x:c r="L74" s="42"/>
    </x:row>
    <x:row r="75">
      <x:c r="L75" s="42"/>
    </x:row>
    <x:row r="76">
      <x:c r="L76" s="42"/>
    </x:row>
    <x:row r="77">
      <x:c r="L77" s="42"/>
    </x:row>
    <x:row r="78">
      <x:c r="L78" s="42"/>
    </x:row>
    <x:row r="79">
      <x:c r="L79" s="42"/>
    </x:row>
    <x:row r="80">
      <x:c r="L80" s="42"/>
    </x:row>
    <x:row r="81">
      <x:c r="L81" s="42"/>
    </x:row>
    <x:row r="82">
      <x:c r="L82" s="42"/>
    </x:row>
    <x:row r="83">
      <x:c r="L83" s="42"/>
    </x:row>
    <x:row r="84">
      <x:c r="L84" s="42"/>
    </x:row>
    <x:row r="85">
      <x:c r="L85" s="42"/>
    </x:row>
    <x:row r="86">
      <x:c r="L86" s="42"/>
    </x:row>
    <x:row r="87">
      <x:c r="L87" s="42"/>
    </x:row>
    <x:row r="88">
      <x:c r="L88" s="42"/>
    </x:row>
    <x:row r="89">
      <x:c r="L89" s="42"/>
    </x:row>
    <x:row r="90">
      <x:c r="L90" s="42"/>
    </x:row>
    <x:row r="91">
      <x:c r="L91" s="42"/>
    </x:row>
    <x:row r="92">
      <x:c r="L92" s="42"/>
    </x:row>
    <x:row r="93">
      <x:c r="L93" s="42"/>
    </x:row>
    <x:row r="94">
      <x:c r="L94" s="42"/>
    </x:row>
    <x:row r="95">
      <x:c r="L95" s="42"/>
    </x:row>
    <x:row r="96">
      <x:c r="L96" s="42"/>
    </x:row>
    <x:row r="97">
      <x:c r="L97" s="42"/>
    </x:row>
    <x:row r="98">
      <x:c r="L98" s="42"/>
    </x:row>
    <x:row r="99">
      <x:c r="L99" s="42"/>
    </x:row>
    <x:row r="100">
      <x:c r="L100" s="42"/>
    </x:row>
    <x:row r="101">
      <x:c r="L101" s="42"/>
    </x:row>
    <x:row r="102">
      <x:c r="L102" s="42"/>
    </x:row>
    <x:row r="103">
      <x:c r="L103" s="42"/>
    </x:row>
    <x:row r="104">
      <x:c r="L104" s="42"/>
    </x:row>
    <x:row r="105">
      <x:c r="L105" s="42"/>
    </x:row>
    <x:row r="106">
      <x:c r="L106" s="42"/>
    </x:row>
    <x:row r="107">
      <x:c r="L107" s="42"/>
    </x:row>
    <x:row r="108">
      <x:c r="L108" s="42"/>
    </x:row>
    <x:row r="109">
      <x:c r="L109" s="42"/>
    </x:row>
    <x:row r="110">
      <x:c r="L110" s="42"/>
    </x:row>
    <x:row r="111">
      <x:c r="L111" s="42"/>
    </x:row>
    <x:row r="112">
      <x:c r="L112" s="42"/>
    </x:row>
    <x:row r="113">
      <x:c r="L113" s="42"/>
    </x:row>
    <x:row r="114">
      <x:c r="L114" s="42"/>
    </x:row>
    <x:row r="115">
      <x:c r="L115" s="42"/>
    </x:row>
    <x:row r="116">
      <x:c r="L116" s="42"/>
    </x:row>
    <x:row r="117">
      <x:c r="L117" s="42"/>
    </x:row>
    <x:row r="118">
      <x:c r="L118" s="42"/>
    </x:row>
    <x:row r="119">
      <x:c r="L119" s="42"/>
    </x:row>
    <x:row r="120">
      <x:c r="L120" s="42"/>
    </x:row>
    <x:row r="121">
      <x:c r="L121" s="42"/>
    </x:row>
    <x:row r="122">
      <x:c r="L122" s="42"/>
    </x:row>
    <x:row r="123">
      <x:c r="L123" s="42"/>
    </x:row>
    <x:row r="124">
      <x:c r="L124" s="42"/>
    </x:row>
    <x:row r="125">
      <x:c r="L125" s="42"/>
    </x:row>
    <x:row r="126">
      <x:c r="L126" s="42"/>
    </x:row>
    <x:row r="127">
      <x:c r="L127" s="42"/>
    </x:row>
    <x:row r="128">
      <x:c r="L128" s="42"/>
    </x:row>
    <x:row r="129">
      <x:c r="L129" s="42"/>
    </x:row>
    <x:row r="130">
      <x:c r="L130" s="42"/>
    </x:row>
    <x:row r="131">
      <x:c r="L131" s="42"/>
    </x:row>
    <x:row r="132">
      <x:c r="L132" s="42"/>
    </x:row>
    <x:row r="133">
      <x:c r="L133" s="42"/>
    </x:row>
    <x:row r="134">
      <x:c r="L134" s="42"/>
    </x:row>
    <x:row r="135">
      <x:c r="L135" s="42"/>
    </x:row>
    <x:row r="136">
      <x:c r="L136" s="42"/>
    </x:row>
    <x:row r="137">
      <x:c r="L137" s="42"/>
    </x:row>
    <x:row r="138">
      <x:c r="L138" s="42"/>
    </x:row>
    <x:row r="139">
      <x:c r="L139" s="42"/>
    </x:row>
    <x:row r="140">
      <x:c r="L140" s="42"/>
    </x:row>
    <x:row r="141">
      <x:c r="L141" s="42"/>
    </x:row>
    <x:row r="142">
      <x:c r="L142" s="42"/>
    </x:row>
    <x:row r="143">
      <x:c r="L143" s="42"/>
    </x:row>
    <x:row r="144">
      <x:c r="L144" s="42"/>
    </x:row>
    <x:row r="145">
      <x:c r="L145" s="42"/>
    </x:row>
    <x:row r="146">
      <x:c r="L146" s="42"/>
    </x:row>
    <x:row r="147">
      <x:c r="L147" s="42"/>
    </x:row>
    <x:row r="148">
      <x:c r="L148" s="42"/>
    </x:row>
    <x:row r="149">
      <x:c r="L149" s="42"/>
    </x:row>
    <x:row r="150">
      <x:c r="L150" s="42"/>
    </x:row>
    <x:row r="151">
      <x:c r="L151" s="42"/>
    </x:row>
    <x:row r="152">
      <x:c r="L152" s="42"/>
    </x:row>
    <x:row r="153">
      <x:c r="L153" s="42"/>
    </x:row>
    <x:row r="154">
      <x:c r="L154" s="42"/>
    </x:row>
    <x:row r="155">
      <x:c r="L155" s="42"/>
    </x:row>
    <x:row r="156">
      <x:c r="L156" s="42"/>
    </x:row>
    <x:row r="157">
      <x:c r="L157" s="42"/>
    </x:row>
    <x:row r="158">
      <x:c r="L158" s="42"/>
    </x:row>
    <x:row r="159">
      <x:c r="L159" s="42"/>
    </x:row>
    <x:row r="160">
      <x:c r="L160" s="42"/>
    </x:row>
    <x:row r="161">
      <x:c r="L161" s="42"/>
    </x:row>
    <x:row r="162">
      <x:c r="L162" s="42"/>
    </x:row>
    <x:row r="163">
      <x:c r="L163" s="42"/>
    </x:row>
    <x:row r="164">
      <x:c r="L164" s="42"/>
    </x:row>
    <x:row r="165">
      <x:c r="L165" s="42"/>
    </x:row>
    <x:row r="166">
      <x:c r="L166" s="42"/>
    </x:row>
    <x:row r="167">
      <x:c r="L167" s="42"/>
    </x:row>
    <x:row r="168">
      <x:c r="L168" s="42"/>
    </x:row>
    <x:row r="169">
      <x:c r="L169" s="42"/>
    </x:row>
    <x:row r="170">
      <x:c r="L170" s="42"/>
    </x:row>
    <x:row r="171">
      <x:c r="L171" s="42"/>
    </x:row>
    <x:row r="172">
      <x:c r="L172" s="42"/>
    </x:row>
    <x:row r="173">
      <x:c r="L173" s="42"/>
    </x:row>
    <x:row r="174">
      <x:c r="L174" s="42"/>
    </x:row>
    <x:row r="175">
      <x:c r="L175" s="42"/>
    </x:row>
    <x:row r="176">
      <x:c r="L176" s="42"/>
    </x:row>
    <x:row r="177">
      <x:c r="L177" s="42"/>
    </x:row>
    <x:row r="178">
      <x:c r="L178" s="42"/>
    </x:row>
    <x:row r="179">
      <x:c r="L179" s="42"/>
    </x:row>
    <x:row r="180">
      <x:c r="L180" s="42"/>
    </x:row>
    <x:row r="181">
      <x:c r="L181" s="42"/>
    </x:row>
    <x:row r="182">
      <x:c r="L182" s="42"/>
    </x:row>
    <x:row r="183">
      <x:c r="L183" s="42"/>
    </x:row>
    <x:row r="184">
      <x:c r="L184" s="42"/>
    </x:row>
    <x:row r="185">
      <x:c r="L185" s="42"/>
    </x:row>
    <x:row r="186">
      <x:c r="L186" s="42"/>
    </x:row>
    <x:row r="187">
      <x:c r="L187" s="42"/>
    </x:row>
    <x:row r="188">
      <x:c r="L188" s="42"/>
    </x:row>
    <x:row r="189">
      <x:c r="L189" s="42"/>
    </x:row>
    <x:row r="190">
      <x:c r="L190" s="42"/>
    </x:row>
    <x:row r="191">
      <x:c r="L191" s="42"/>
    </x:row>
    <x:row r="192">
      <x:c r="L192" s="42"/>
    </x:row>
    <x:row r="193">
      <x:c r="L193" s="42"/>
    </x:row>
    <x:row r="194">
      <x:c r="L194" s="42"/>
    </x:row>
    <x:row r="195">
      <x:c r="L195" s="42"/>
    </x:row>
    <x:row r="196">
      <x:c r="L196" s="42"/>
    </x:row>
    <x:row r="197">
      <x:c r="L197" s="42"/>
    </x:row>
    <x:row r="198">
      <x:c r="L198" s="42"/>
    </x:row>
    <x:row r="199">
      <x:c r="L199" s="42"/>
    </x:row>
    <x:row r="200">
      <x:c r="L200" s="42"/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dataValidations count="3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4.6328125" style="1" customWidth="1"/>
    <x:col min="2" max="2" width="67.6328125" style="1" customWidth="1"/>
    <x:col min="3" max="16384" width="11.6328125" style="1" customWidth="0"/>
  </x:cols>
  <x:sheetData>
    <x:row r="1" ht="16.200000762939453">
      <x:c r="A1" s="45" t="s">
        <x:v>62</x:v>
      </x:c>
      <x:c r="B1" s="45"/>
      <x:c r="C1" s="2"/>
    </x:row>
    <x:row r="2" ht="28.799999237060547">
      <x:c r="A2" s="46">
        <x:v>1</x:v>
      </x:c>
      <x:c r="B2" s="47" t="s">
        <x:v>63</x:v>
      </x:c>
      <x:c r="C2" s="2"/>
    </x:row>
    <x:row r="3">
      <x:c r="A3" s="46">
        <x:v>2</x:v>
      </x:c>
      <x:c r="B3" s="47" t="s">
        <x:v>64</x:v>
      </x:c>
      <x:c r="C3" s="2"/>
    </x:row>
    <x:row r="4" ht="42.599998474121094">
      <x:c r="A4" s="46">
        <x:v>3</x:v>
      </x:c>
      <x:c r="B4" s="47" t="s">
        <x:v>65</x:v>
      </x:c>
      <x:c r="C4" s="2"/>
    </x:row>
    <x:row r="5" ht="28.799999237060547">
      <x:c r="A5" s="46">
        <x:v>4</x:v>
      </x:c>
      <x:c r="B5" s="47" t="s">
        <x:v>66</x:v>
      </x:c>
      <x:c r="C5" s="2"/>
    </x:row>
    <x:row r="6" ht="33" customHeight="1">
      <x:c r="A6" s="46">
        <x:v>5</x:v>
      </x:c>
      <x:c r="B6" s="47" t="s">
        <x:v>67</x:v>
      </x:c>
      <x:c r="C6" s="2"/>
    </x:row>
    <x:row r="7" ht="42.599998474121094">
      <x:c r="A7" s="46">
        <x:v>6</x:v>
      </x:c>
      <x:c r="B7" s="47" t="s">
        <x:v>68</x:v>
      </x:c>
      <x:c r="C7" s="2"/>
    </x:row>
    <x:row r="8">
      <x:c r="A8" s="46">
        <x:v>7</x:v>
      </x:c>
      <x:c r="B8" s="47" t="s">
        <x:v>69</x:v>
      </x:c>
      <x:c r="C8" s="2"/>
    </x:row>
    <x:row r="9">
      <x:c r="A9" s="48">
        <x:v>8</x:v>
      </x:c>
      <x:c r="B9" s="49" t="s">
        <x:v>70</x:v>
      </x:c>
      <x:c r="C9" s="2"/>
    </x:row>
    <x:row r="10" ht="73.5" customHeight="1">
      <x:c r="A10" s="48">
        <x:v>9</x:v>
      </x:c>
      <x:c r="B10" s="49" t="s">
        <x:v>71</x:v>
      </x:c>
    </x:row>
  </x:sheetData>
  <x:pageMargins left="0.7" right="0.7" top="0.75" bottom="0.75" header="0.3" footer="0.3"/>
</x:worksheet>
</file>